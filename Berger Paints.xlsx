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ra\Documents\All Files\Finance Modelling\3 Model\Berger Paints\"/>
    </mc:Choice>
  </mc:AlternateContent>
  <xr:revisionPtr revIDLastSave="0" documentId="13_ncr:1_{C4AE5ACD-70AB-45C1-AFDF-C314FF12CD84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Income Statement" sheetId="7" r:id="rId1"/>
    <sheet name="Balance Sheet" sheetId="8" r:id="rId2"/>
    <sheet name="Cash Flow Statement" sheetId="9" r:id="rId3"/>
    <sheet name="Ratio Analysis" sheetId="10" r:id="rId4"/>
    <sheet name="Forecasting" sheetId="11" r:id="rId5"/>
    <sheet name="WACC" sheetId="12" r:id="rId6"/>
    <sheet name="Beta Calculation" sheetId="14" r:id="rId7"/>
    <sheet name="Market Returns" sheetId="17" r:id="rId8"/>
    <sheet name="Peer Companies" sheetId="16" r:id="rId9"/>
    <sheet name="Intrinsic Growth" sheetId="18" r:id="rId10"/>
    <sheet name="Data Sheet" sheetId="6" r:id="rId11"/>
  </sheets>
  <definedNames>
    <definedName name="ExternalData_2" localSheetId="6" hidden="1">'Beta Calculation'!$B$5:$D$110</definedName>
    <definedName name="ExternalData_3" localSheetId="6" hidden="1">'Beta Calculation'!$F$5:$G$110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8" i="18" l="1"/>
  <c r="E58" i="18"/>
  <c r="F58" i="18"/>
  <c r="G58" i="18"/>
  <c r="H58" i="18"/>
  <c r="I58" i="18"/>
  <c r="J58" i="18"/>
  <c r="K58" i="18"/>
  <c r="L58" i="18"/>
  <c r="D55" i="18"/>
  <c r="E55" i="18"/>
  <c r="F55" i="18"/>
  <c r="G55" i="18"/>
  <c r="H55" i="18"/>
  <c r="I55" i="18"/>
  <c r="J55" i="18"/>
  <c r="K55" i="18"/>
  <c r="L55" i="18"/>
  <c r="D56" i="18"/>
  <c r="E56" i="18"/>
  <c r="F56" i="18"/>
  <c r="G56" i="18"/>
  <c r="H56" i="18"/>
  <c r="I56" i="18"/>
  <c r="J56" i="18"/>
  <c r="K56" i="18"/>
  <c r="L56" i="18"/>
  <c r="C55" i="18"/>
  <c r="C58" i="18"/>
  <c r="C56" i="18"/>
  <c r="D43" i="18"/>
  <c r="E43" i="18"/>
  <c r="F43" i="18"/>
  <c r="G43" i="18"/>
  <c r="H43" i="18"/>
  <c r="I43" i="18"/>
  <c r="J43" i="18"/>
  <c r="J50" i="18" s="1"/>
  <c r="J51" i="18" s="1"/>
  <c r="K43" i="18"/>
  <c r="K50" i="18" s="1"/>
  <c r="K51" i="18" s="1"/>
  <c r="L43" i="18"/>
  <c r="L50" i="18" s="1"/>
  <c r="L51" i="18" s="1"/>
  <c r="C43" i="18"/>
  <c r="D51" i="18"/>
  <c r="E51" i="18"/>
  <c r="D48" i="18"/>
  <c r="E48" i="18"/>
  <c r="F48" i="18"/>
  <c r="G48" i="18"/>
  <c r="H48" i="18"/>
  <c r="I48" i="18"/>
  <c r="J48" i="18"/>
  <c r="K48" i="18"/>
  <c r="L48" i="18"/>
  <c r="C48" i="18"/>
  <c r="C51" i="18"/>
  <c r="D50" i="18"/>
  <c r="E50" i="18"/>
  <c r="F50" i="18"/>
  <c r="F51" i="18" s="1"/>
  <c r="G50" i="18"/>
  <c r="G51" i="18" s="1"/>
  <c r="H50" i="18"/>
  <c r="H51" i="18" s="1"/>
  <c r="I50" i="18"/>
  <c r="I51" i="18" s="1"/>
  <c r="C50" i="18"/>
  <c r="D46" i="18"/>
  <c r="E46" i="18"/>
  <c r="F46" i="18"/>
  <c r="G46" i="18"/>
  <c r="H46" i="18"/>
  <c r="I46" i="18"/>
  <c r="J46" i="18"/>
  <c r="K46" i="18"/>
  <c r="L46" i="18"/>
  <c r="C46" i="18"/>
  <c r="E44" i="18"/>
  <c r="F44" i="18"/>
  <c r="G44" i="18"/>
  <c r="H44" i="18"/>
  <c r="I44" i="18"/>
  <c r="J44" i="18"/>
  <c r="K44" i="18"/>
  <c r="L44" i="18"/>
  <c r="D44" i="18"/>
  <c r="D39" i="18"/>
  <c r="E39" i="18"/>
  <c r="F39" i="18"/>
  <c r="G39" i="18"/>
  <c r="H39" i="18"/>
  <c r="I39" i="18"/>
  <c r="J39" i="18"/>
  <c r="K39" i="18"/>
  <c r="L39" i="18"/>
  <c r="C39" i="18"/>
  <c r="D37" i="18"/>
  <c r="E37" i="18"/>
  <c r="F37" i="18"/>
  <c r="G37" i="18"/>
  <c r="H37" i="18"/>
  <c r="I37" i="18"/>
  <c r="J37" i="18"/>
  <c r="K37" i="18"/>
  <c r="L37" i="18"/>
  <c r="C37" i="18"/>
  <c r="D36" i="18"/>
  <c r="E36" i="18"/>
  <c r="F36" i="18"/>
  <c r="G36" i="18"/>
  <c r="H36" i="18"/>
  <c r="I36" i="18"/>
  <c r="J36" i="18"/>
  <c r="K36" i="18"/>
  <c r="L36" i="18"/>
  <c r="C36" i="18"/>
  <c r="B16" i="18"/>
  <c r="C16" i="18"/>
  <c r="D16" i="18"/>
  <c r="E16" i="18"/>
  <c r="F16" i="18"/>
  <c r="G16" i="18"/>
  <c r="H16" i="18"/>
  <c r="I16" i="18"/>
  <c r="J16" i="18"/>
  <c r="K16" i="18"/>
  <c r="L16" i="18"/>
  <c r="B17" i="18"/>
  <c r="C17" i="18"/>
  <c r="D17" i="18"/>
  <c r="E17" i="18"/>
  <c r="F17" i="18"/>
  <c r="G17" i="18"/>
  <c r="H17" i="18"/>
  <c r="I17" i="18"/>
  <c r="J17" i="18"/>
  <c r="K17" i="18"/>
  <c r="L17" i="18"/>
  <c r="C15" i="18"/>
  <c r="D15" i="18"/>
  <c r="E15" i="18"/>
  <c r="F15" i="18"/>
  <c r="G15" i="18"/>
  <c r="H15" i="18"/>
  <c r="I15" i="18"/>
  <c r="J15" i="18"/>
  <c r="K15" i="18"/>
  <c r="L15" i="18"/>
  <c r="B15" i="18"/>
  <c r="C8" i="18"/>
  <c r="D8" i="18"/>
  <c r="E8" i="18"/>
  <c r="F8" i="18"/>
  <c r="G8" i="18"/>
  <c r="H8" i="18"/>
  <c r="I8" i="18"/>
  <c r="J8" i="18"/>
  <c r="K8" i="18"/>
  <c r="L8" i="18"/>
  <c r="C9" i="18"/>
  <c r="D9" i="18"/>
  <c r="E9" i="18"/>
  <c r="F9" i="18"/>
  <c r="G9" i="18"/>
  <c r="H9" i="18"/>
  <c r="I9" i="18"/>
  <c r="J9" i="18"/>
  <c r="K9" i="18"/>
  <c r="L9" i="18"/>
  <c r="C10" i="18"/>
  <c r="D10" i="18"/>
  <c r="E10" i="18"/>
  <c r="F10" i="18"/>
  <c r="G10" i="18"/>
  <c r="H10" i="18"/>
  <c r="I10" i="18"/>
  <c r="J10" i="18"/>
  <c r="K10" i="18"/>
  <c r="L10" i="18"/>
  <c r="C11" i="18"/>
  <c r="D11" i="18"/>
  <c r="E11" i="18"/>
  <c r="F11" i="18"/>
  <c r="G11" i="18"/>
  <c r="H11" i="18"/>
  <c r="I11" i="18"/>
  <c r="J11" i="18"/>
  <c r="K11" i="18"/>
  <c r="L11" i="18"/>
  <c r="D7" i="18"/>
  <c r="E7" i="18"/>
  <c r="F7" i="18"/>
  <c r="G7" i="18"/>
  <c r="H7" i="18"/>
  <c r="I7" i="18"/>
  <c r="J7" i="18"/>
  <c r="K7" i="18"/>
  <c r="L7" i="18"/>
  <c r="C7" i="18"/>
  <c r="B8" i="18"/>
  <c r="B9" i="18"/>
  <c r="B10" i="18"/>
  <c r="B11" i="18"/>
  <c r="B7" i="18"/>
  <c r="D33" i="18"/>
  <c r="E33" i="18"/>
  <c r="F33" i="18"/>
  <c r="G33" i="18"/>
  <c r="H33" i="18"/>
  <c r="I33" i="18"/>
  <c r="J33" i="18"/>
  <c r="K33" i="18"/>
  <c r="L33" i="18"/>
  <c r="C33" i="18"/>
  <c r="C24" i="18"/>
  <c r="D24" i="18"/>
  <c r="E24" i="18"/>
  <c r="F24" i="18"/>
  <c r="G24" i="18"/>
  <c r="H24" i="18"/>
  <c r="I24" i="18"/>
  <c r="J24" i="18"/>
  <c r="K24" i="18"/>
  <c r="L24" i="18"/>
  <c r="C25" i="18"/>
  <c r="D25" i="18"/>
  <c r="E25" i="18"/>
  <c r="F25" i="18"/>
  <c r="G25" i="18"/>
  <c r="H25" i="18"/>
  <c r="I25" i="18"/>
  <c r="J25" i="18"/>
  <c r="K25" i="18"/>
  <c r="L25" i="18"/>
  <c r="C26" i="18"/>
  <c r="D26" i="18"/>
  <c r="E26" i="18"/>
  <c r="F26" i="18"/>
  <c r="G26" i="18"/>
  <c r="H26" i="18"/>
  <c r="I26" i="18"/>
  <c r="J26" i="18"/>
  <c r="K26" i="18"/>
  <c r="L26" i="18"/>
  <c r="C27" i="18"/>
  <c r="D27" i="18"/>
  <c r="E27" i="18"/>
  <c r="F27" i="18"/>
  <c r="G27" i="18"/>
  <c r="H27" i="18"/>
  <c r="I27" i="18"/>
  <c r="J27" i="18"/>
  <c r="K27" i="18"/>
  <c r="L27" i="18"/>
  <c r="C28" i="18"/>
  <c r="D28" i="18"/>
  <c r="E28" i="18"/>
  <c r="F28" i="18"/>
  <c r="G28" i="18"/>
  <c r="H28" i="18"/>
  <c r="I28" i="18"/>
  <c r="J28" i="18"/>
  <c r="K28" i="18"/>
  <c r="L28" i="18"/>
  <c r="C29" i="18"/>
  <c r="D29" i="18"/>
  <c r="E29" i="18"/>
  <c r="F29" i="18"/>
  <c r="G29" i="18"/>
  <c r="H29" i="18"/>
  <c r="I29" i="18"/>
  <c r="J29" i="18"/>
  <c r="K29" i="18"/>
  <c r="L29" i="18"/>
  <c r="C30" i="18"/>
  <c r="D30" i="18"/>
  <c r="E30" i="18"/>
  <c r="F30" i="18"/>
  <c r="G30" i="18"/>
  <c r="H30" i="18"/>
  <c r="I30" i="18"/>
  <c r="J30" i="18"/>
  <c r="K30" i="18"/>
  <c r="L30" i="18"/>
  <c r="C31" i="18"/>
  <c r="D31" i="18"/>
  <c r="E31" i="18"/>
  <c r="F31" i="18"/>
  <c r="G31" i="18"/>
  <c r="H31" i="18"/>
  <c r="I31" i="18"/>
  <c r="J31" i="18"/>
  <c r="K31" i="18"/>
  <c r="L31" i="18"/>
  <c r="C32" i="18"/>
  <c r="D32" i="18"/>
  <c r="E32" i="18"/>
  <c r="F32" i="18"/>
  <c r="G32" i="18"/>
  <c r="H32" i="18"/>
  <c r="I32" i="18"/>
  <c r="J32" i="18"/>
  <c r="K32" i="18"/>
  <c r="L32" i="18"/>
  <c r="D23" i="18"/>
  <c r="E23" i="18"/>
  <c r="F23" i="18"/>
  <c r="G23" i="18"/>
  <c r="H23" i="18"/>
  <c r="I23" i="18"/>
  <c r="J23" i="18"/>
  <c r="K23" i="18"/>
  <c r="L23" i="18"/>
  <c r="C23" i="18"/>
  <c r="B24" i="18"/>
  <c r="B25" i="18"/>
  <c r="B26" i="18"/>
  <c r="B27" i="18"/>
  <c r="B28" i="18"/>
  <c r="B29" i="18"/>
  <c r="B30" i="18"/>
  <c r="B31" i="18"/>
  <c r="B32" i="18"/>
  <c r="B23" i="18"/>
  <c r="B3" i="18"/>
  <c r="D4" i="18"/>
  <c r="E4" i="18"/>
  <c r="F4" i="18"/>
  <c r="G4" i="18"/>
  <c r="H4" i="18"/>
  <c r="I4" i="18"/>
  <c r="J4" i="18"/>
  <c r="K4" i="18"/>
  <c r="L4" i="18"/>
  <c r="C4" i="18"/>
  <c r="B6" i="10"/>
  <c r="H18" i="18" l="1"/>
  <c r="G18" i="18"/>
  <c r="C18" i="18"/>
  <c r="D18" i="18"/>
  <c r="L18" i="18"/>
  <c r="F18" i="18"/>
  <c r="K18" i="18"/>
  <c r="J18" i="18"/>
  <c r="E18" i="18"/>
  <c r="I18" i="18"/>
  <c r="J12" i="18"/>
  <c r="J20" i="18" s="1"/>
  <c r="I12" i="18"/>
  <c r="I20" i="18" s="1"/>
  <c r="H12" i="18"/>
  <c r="G12" i="18"/>
  <c r="G20" i="18" s="1"/>
  <c r="D12" i="18"/>
  <c r="F12" i="18"/>
  <c r="L12" i="18"/>
  <c r="L20" i="18" s="1"/>
  <c r="C12" i="18"/>
  <c r="C20" i="18" s="1"/>
  <c r="E12" i="18"/>
  <c r="K12" i="18"/>
  <c r="K20" i="18" s="1"/>
  <c r="E34" i="18"/>
  <c r="D34" i="18"/>
  <c r="L34" i="18"/>
  <c r="K34" i="18"/>
  <c r="C34" i="18"/>
  <c r="J34" i="18"/>
  <c r="I34" i="18"/>
  <c r="G34" i="18"/>
  <c r="H34" i="18"/>
  <c r="F34" i="18"/>
  <c r="H20" i="18" l="1"/>
  <c r="E20" i="18"/>
  <c r="F20" i="18"/>
  <c r="D20" i="18"/>
  <c r="F3" i="17" l="1"/>
  <c r="F5" i="17" s="1"/>
  <c r="M27" i="12" s="1"/>
  <c r="M29" i="12" s="1"/>
  <c r="M42" i="12" s="1"/>
  <c r="M48" i="12" s="1"/>
  <c r="M46" i="12"/>
  <c r="M45" i="12"/>
  <c r="M43" i="12"/>
  <c r="M37" i="12"/>
  <c r="M36" i="12"/>
  <c r="M35" i="12"/>
  <c r="E39" i="12"/>
  <c r="M34" i="12"/>
  <c r="M28" i="12"/>
  <c r="E36" i="12"/>
  <c r="E35" i="12"/>
  <c r="D37" i="12"/>
  <c r="D36" i="12"/>
  <c r="D35" i="12"/>
  <c r="C37" i="12"/>
  <c r="C36" i="12"/>
  <c r="C35" i="12"/>
  <c r="G28" i="12"/>
  <c r="G26" i="12"/>
  <c r="J22" i="12"/>
  <c r="K22" i="12"/>
  <c r="L22" i="12"/>
  <c r="M22" i="12"/>
  <c r="I22" i="12"/>
  <c r="J21" i="12"/>
  <c r="K21" i="12"/>
  <c r="L21" i="12"/>
  <c r="M21" i="12"/>
  <c r="I21" i="12"/>
  <c r="M15" i="12"/>
  <c r="M16" i="12"/>
  <c r="M17" i="12"/>
  <c r="M18" i="12"/>
  <c r="M19" i="12"/>
  <c r="L16" i="12"/>
  <c r="K16" i="12"/>
  <c r="K17" i="12"/>
  <c r="K18" i="12"/>
  <c r="K19" i="12"/>
  <c r="K15" i="12"/>
  <c r="J16" i="12"/>
  <c r="J17" i="12"/>
  <c r="J18" i="12"/>
  <c r="J19" i="12"/>
  <c r="J15" i="12"/>
  <c r="H16" i="12"/>
  <c r="H17" i="12"/>
  <c r="H18" i="12"/>
  <c r="H19" i="12"/>
  <c r="H15" i="12"/>
  <c r="G16" i="12"/>
  <c r="G17" i="12"/>
  <c r="G18" i="12"/>
  <c r="G19" i="12"/>
  <c r="G15" i="12"/>
  <c r="K7" i="14"/>
  <c r="N5" i="14" s="1"/>
  <c r="N10" i="14" s="1"/>
  <c r="K6" i="14"/>
  <c r="K5" i="14"/>
  <c r="D14" i="11" l="1"/>
  <c r="D15" i="11"/>
  <c r="D16" i="11"/>
  <c r="D17" i="11"/>
  <c r="D13" i="11"/>
  <c r="E13" i="11" s="1"/>
  <c r="E15" i="11"/>
  <c r="E16" i="11" l="1"/>
  <c r="E17" i="11"/>
  <c r="E14" i="11"/>
  <c r="C22" i="11" l="1"/>
  <c r="C23" i="11"/>
  <c r="E5" i="11"/>
  <c r="E6" i="11"/>
  <c r="E7" i="11"/>
  <c r="E8" i="11"/>
  <c r="E9" i="11"/>
  <c r="E10" i="11"/>
  <c r="E11" i="11"/>
  <c r="E12" i="11"/>
  <c r="E4" i="11"/>
  <c r="C14" i="11"/>
  <c r="C15" i="11" s="1"/>
  <c r="C16" i="11" s="1"/>
  <c r="C17" i="11" s="1"/>
  <c r="C21" i="11" l="1"/>
  <c r="O20" i="10" l="1"/>
  <c r="O24" i="10"/>
  <c r="O36" i="10"/>
  <c r="O41" i="10"/>
  <c r="O45" i="10"/>
  <c r="N14" i="10"/>
  <c r="N20" i="10"/>
  <c r="N24" i="10"/>
  <c r="N36" i="10"/>
  <c r="N41" i="10"/>
  <c r="D37" i="7"/>
  <c r="N31" i="7"/>
  <c r="E31" i="7"/>
  <c r="F31" i="7"/>
  <c r="G31" i="7"/>
  <c r="H31" i="7"/>
  <c r="I31" i="7"/>
  <c r="J31" i="7"/>
  <c r="K31" i="7"/>
  <c r="L31" i="7"/>
  <c r="M31" i="7"/>
  <c r="D31" i="7"/>
  <c r="C12" i="10"/>
  <c r="C9" i="10" l="1"/>
  <c r="L7" i="10"/>
  <c r="K7" i="10"/>
  <c r="J7" i="10"/>
  <c r="I7" i="10"/>
  <c r="H7" i="10"/>
  <c r="G7" i="10"/>
  <c r="F7" i="10"/>
  <c r="E7" i="10"/>
  <c r="D7" i="10"/>
  <c r="C7" i="10"/>
  <c r="B6" i="8"/>
  <c r="C36" i="9"/>
  <c r="D36" i="9"/>
  <c r="E36" i="9"/>
  <c r="F36" i="9"/>
  <c r="G36" i="9"/>
  <c r="H36" i="9"/>
  <c r="I36" i="9"/>
  <c r="J36" i="9"/>
  <c r="K36" i="9"/>
  <c r="L36" i="9"/>
  <c r="C37" i="9"/>
  <c r="D37" i="9"/>
  <c r="E37" i="9"/>
  <c r="F37" i="9"/>
  <c r="G37" i="9"/>
  <c r="H37" i="9"/>
  <c r="I37" i="9"/>
  <c r="J37" i="9"/>
  <c r="K37" i="9"/>
  <c r="L37" i="9"/>
  <c r="C38" i="9"/>
  <c r="D38" i="9"/>
  <c r="E38" i="9"/>
  <c r="F38" i="9"/>
  <c r="G38" i="9"/>
  <c r="H38" i="9"/>
  <c r="I38" i="9"/>
  <c r="J38" i="9"/>
  <c r="K38" i="9"/>
  <c r="L38" i="9"/>
  <c r="C39" i="9"/>
  <c r="D39" i="9"/>
  <c r="E39" i="9"/>
  <c r="F39" i="9"/>
  <c r="G39" i="9"/>
  <c r="H39" i="9"/>
  <c r="I39" i="9"/>
  <c r="J39" i="9"/>
  <c r="K39" i="9"/>
  <c r="L39" i="9"/>
  <c r="C40" i="9"/>
  <c r="D40" i="9"/>
  <c r="E40" i="9"/>
  <c r="F40" i="9"/>
  <c r="G40" i="9"/>
  <c r="H40" i="9"/>
  <c r="I40" i="9"/>
  <c r="J40" i="9"/>
  <c r="K40" i="9"/>
  <c r="L40" i="9"/>
  <c r="C41" i="9"/>
  <c r="D41" i="9"/>
  <c r="E41" i="9"/>
  <c r="F41" i="9"/>
  <c r="G41" i="9"/>
  <c r="H41" i="9"/>
  <c r="I41" i="9"/>
  <c r="J41" i="9"/>
  <c r="K41" i="9"/>
  <c r="L41" i="9"/>
  <c r="D35" i="9"/>
  <c r="E35" i="9"/>
  <c r="F35" i="9"/>
  <c r="G35" i="9"/>
  <c r="H35" i="9"/>
  <c r="I35" i="9"/>
  <c r="J35" i="9"/>
  <c r="K35" i="9"/>
  <c r="L35" i="9"/>
  <c r="C35" i="9"/>
  <c r="B36" i="9"/>
  <c r="B37" i="9"/>
  <c r="B38" i="9"/>
  <c r="B39" i="9"/>
  <c r="B40" i="9"/>
  <c r="B41" i="9"/>
  <c r="B35" i="9"/>
  <c r="C22" i="9"/>
  <c r="D22" i="9"/>
  <c r="E22" i="9"/>
  <c r="F22" i="9"/>
  <c r="G22" i="9"/>
  <c r="H22" i="9"/>
  <c r="I22" i="9"/>
  <c r="J22" i="9"/>
  <c r="K22" i="9"/>
  <c r="L22" i="9"/>
  <c r="C23" i="9"/>
  <c r="D23" i="9"/>
  <c r="E23" i="9"/>
  <c r="F23" i="9"/>
  <c r="G23" i="9"/>
  <c r="H23" i="9"/>
  <c r="I23" i="9"/>
  <c r="J23" i="9"/>
  <c r="K23" i="9"/>
  <c r="L23" i="9"/>
  <c r="C24" i="9"/>
  <c r="D24" i="9"/>
  <c r="E24" i="9"/>
  <c r="F24" i="9"/>
  <c r="G24" i="9"/>
  <c r="H24" i="9"/>
  <c r="I24" i="9"/>
  <c r="J24" i="9"/>
  <c r="K24" i="9"/>
  <c r="L24" i="9"/>
  <c r="C25" i="9"/>
  <c r="D25" i="9"/>
  <c r="E25" i="9"/>
  <c r="F25" i="9"/>
  <c r="G25" i="9"/>
  <c r="H25" i="9"/>
  <c r="I25" i="9"/>
  <c r="J25" i="9"/>
  <c r="K25" i="9"/>
  <c r="L25" i="9"/>
  <c r="C26" i="9"/>
  <c r="D26" i="9"/>
  <c r="E26" i="9"/>
  <c r="F26" i="9"/>
  <c r="G26" i="9"/>
  <c r="H26" i="9"/>
  <c r="I26" i="9"/>
  <c r="J26" i="9"/>
  <c r="K26" i="9"/>
  <c r="L26" i="9"/>
  <c r="C27" i="9"/>
  <c r="D27" i="9"/>
  <c r="E27" i="9"/>
  <c r="F27" i="9"/>
  <c r="G27" i="9"/>
  <c r="H27" i="9"/>
  <c r="I27" i="9"/>
  <c r="J27" i="9"/>
  <c r="K27" i="9"/>
  <c r="L27" i="9"/>
  <c r="C28" i="9"/>
  <c r="D28" i="9"/>
  <c r="E28" i="9"/>
  <c r="F28" i="9"/>
  <c r="G28" i="9"/>
  <c r="H28" i="9"/>
  <c r="I28" i="9"/>
  <c r="J28" i="9"/>
  <c r="K28" i="9"/>
  <c r="L28" i="9"/>
  <c r="C29" i="9"/>
  <c r="D29" i="9"/>
  <c r="E29" i="9"/>
  <c r="F29" i="9"/>
  <c r="G29" i="9"/>
  <c r="H29" i="9"/>
  <c r="I29" i="9"/>
  <c r="J29" i="9"/>
  <c r="K29" i="9"/>
  <c r="L29" i="9"/>
  <c r="C30" i="9"/>
  <c r="D30" i="9"/>
  <c r="E30" i="9"/>
  <c r="F30" i="9"/>
  <c r="G30" i="9"/>
  <c r="H30" i="9"/>
  <c r="I30" i="9"/>
  <c r="J30" i="9"/>
  <c r="K30" i="9"/>
  <c r="L30" i="9"/>
  <c r="C31" i="9"/>
  <c r="D31" i="9"/>
  <c r="E31" i="9"/>
  <c r="F31" i="9"/>
  <c r="G31" i="9"/>
  <c r="H31" i="9"/>
  <c r="I31" i="9"/>
  <c r="J31" i="9"/>
  <c r="K31" i="9"/>
  <c r="L31" i="9"/>
  <c r="D21" i="9"/>
  <c r="E21" i="9"/>
  <c r="F21" i="9"/>
  <c r="G21" i="9"/>
  <c r="H21" i="9"/>
  <c r="I21" i="9"/>
  <c r="J21" i="9"/>
  <c r="K21" i="9"/>
  <c r="L21" i="9"/>
  <c r="C21" i="9"/>
  <c r="B22" i="9"/>
  <c r="B23" i="9"/>
  <c r="B24" i="9"/>
  <c r="B25" i="9"/>
  <c r="B26" i="9"/>
  <c r="B27" i="9"/>
  <c r="B28" i="9"/>
  <c r="B29" i="9"/>
  <c r="B30" i="9"/>
  <c r="B31" i="9"/>
  <c r="B21" i="9"/>
  <c r="C11" i="9"/>
  <c r="D11" i="9"/>
  <c r="E11" i="9"/>
  <c r="F11" i="9"/>
  <c r="G11" i="9"/>
  <c r="H11" i="9"/>
  <c r="I11" i="9"/>
  <c r="J11" i="9"/>
  <c r="K11" i="9"/>
  <c r="L11" i="9"/>
  <c r="C12" i="9"/>
  <c r="D12" i="9"/>
  <c r="E12" i="9"/>
  <c r="F12" i="9"/>
  <c r="G12" i="9"/>
  <c r="H12" i="9"/>
  <c r="I12" i="9"/>
  <c r="J12" i="9"/>
  <c r="K12" i="9"/>
  <c r="L12" i="9"/>
  <c r="C13" i="9"/>
  <c r="D13" i="9"/>
  <c r="E13" i="9"/>
  <c r="F13" i="9"/>
  <c r="G13" i="9"/>
  <c r="H13" i="9"/>
  <c r="I13" i="9"/>
  <c r="J13" i="9"/>
  <c r="K13" i="9"/>
  <c r="L13" i="9"/>
  <c r="C14" i="9"/>
  <c r="D14" i="9"/>
  <c r="E14" i="9"/>
  <c r="F14" i="9"/>
  <c r="G14" i="9"/>
  <c r="H14" i="9"/>
  <c r="I14" i="9"/>
  <c r="J14" i="9"/>
  <c r="K14" i="9"/>
  <c r="L14" i="9"/>
  <c r="C15" i="9"/>
  <c r="D15" i="9"/>
  <c r="E15" i="9"/>
  <c r="F15" i="9"/>
  <c r="G15" i="9"/>
  <c r="H15" i="9"/>
  <c r="I15" i="9"/>
  <c r="J15" i="9"/>
  <c r="K15" i="9"/>
  <c r="L15" i="9"/>
  <c r="C16" i="9"/>
  <c r="D16" i="9"/>
  <c r="E16" i="9"/>
  <c r="F16" i="9"/>
  <c r="G16" i="9"/>
  <c r="H16" i="9"/>
  <c r="I16" i="9"/>
  <c r="J16" i="9"/>
  <c r="K16" i="9"/>
  <c r="L16" i="9"/>
  <c r="C17" i="9"/>
  <c r="D17" i="9"/>
  <c r="E17" i="9"/>
  <c r="F17" i="9"/>
  <c r="G17" i="9"/>
  <c r="H17" i="9"/>
  <c r="I17" i="9"/>
  <c r="J17" i="9"/>
  <c r="K17" i="9"/>
  <c r="L17" i="9"/>
  <c r="D10" i="9"/>
  <c r="E10" i="9"/>
  <c r="F10" i="9"/>
  <c r="G10" i="9"/>
  <c r="H10" i="9"/>
  <c r="I10" i="9"/>
  <c r="J10" i="9"/>
  <c r="K10" i="9"/>
  <c r="L10" i="9"/>
  <c r="C10" i="9"/>
  <c r="B11" i="9"/>
  <c r="B12" i="9"/>
  <c r="B13" i="9"/>
  <c r="B14" i="9"/>
  <c r="B15" i="9"/>
  <c r="B16" i="9"/>
  <c r="B17" i="9"/>
  <c r="B10" i="9"/>
  <c r="L7" i="9"/>
  <c r="K7" i="9"/>
  <c r="J7" i="9"/>
  <c r="I7" i="9"/>
  <c r="H7" i="9"/>
  <c r="G7" i="9"/>
  <c r="F7" i="9"/>
  <c r="E7" i="9"/>
  <c r="D7" i="9"/>
  <c r="C7" i="9"/>
  <c r="B6" i="9"/>
  <c r="B10" i="8"/>
  <c r="D10" i="8"/>
  <c r="E10" i="8"/>
  <c r="F10" i="8"/>
  <c r="G10" i="8"/>
  <c r="H10" i="8"/>
  <c r="I10" i="8"/>
  <c r="J10" i="8"/>
  <c r="K10" i="8"/>
  <c r="L10" i="8"/>
  <c r="M10" i="8"/>
  <c r="D23" i="8"/>
  <c r="E23" i="8"/>
  <c r="F23" i="8"/>
  <c r="G23" i="8"/>
  <c r="H23" i="8"/>
  <c r="I23" i="8"/>
  <c r="J23" i="8"/>
  <c r="K23" i="8"/>
  <c r="L23" i="8"/>
  <c r="M23" i="8"/>
  <c r="D24" i="8"/>
  <c r="E24" i="8"/>
  <c r="F24" i="8"/>
  <c r="G24" i="8"/>
  <c r="H24" i="8"/>
  <c r="I24" i="8"/>
  <c r="J24" i="8"/>
  <c r="K24" i="8"/>
  <c r="L24" i="8"/>
  <c r="M24" i="8"/>
  <c r="E22" i="8"/>
  <c r="F22" i="8"/>
  <c r="G22" i="8"/>
  <c r="H22" i="8"/>
  <c r="I22" i="8"/>
  <c r="J22" i="8"/>
  <c r="K22" i="8"/>
  <c r="L22" i="8"/>
  <c r="M22" i="8"/>
  <c r="D22" i="8"/>
  <c r="B23" i="8"/>
  <c r="B24" i="8"/>
  <c r="B22" i="8"/>
  <c r="E16" i="8"/>
  <c r="F16" i="8"/>
  <c r="G16" i="8"/>
  <c r="H16" i="8"/>
  <c r="I16" i="8"/>
  <c r="J16" i="8"/>
  <c r="K16" i="8"/>
  <c r="L16" i="8"/>
  <c r="M16" i="8"/>
  <c r="E17" i="8"/>
  <c r="F17" i="8"/>
  <c r="G17" i="8"/>
  <c r="H17" i="8"/>
  <c r="I17" i="8"/>
  <c r="J17" i="8"/>
  <c r="K17" i="8"/>
  <c r="L17" i="8"/>
  <c r="M17" i="8"/>
  <c r="E18" i="8"/>
  <c r="F18" i="8"/>
  <c r="G18" i="8"/>
  <c r="H18" i="8"/>
  <c r="I18" i="8"/>
  <c r="J18" i="8"/>
  <c r="K18" i="8"/>
  <c r="L18" i="8"/>
  <c r="M18" i="8"/>
  <c r="D17" i="8"/>
  <c r="D18" i="8"/>
  <c r="D16" i="8"/>
  <c r="B18" i="8"/>
  <c r="B19" i="8"/>
  <c r="B17" i="8"/>
  <c r="B16" i="8"/>
  <c r="D11" i="8"/>
  <c r="E11" i="8"/>
  <c r="F11" i="8"/>
  <c r="G11" i="8"/>
  <c r="H11" i="8"/>
  <c r="I11" i="8"/>
  <c r="J11" i="8"/>
  <c r="K11" i="8"/>
  <c r="L11" i="8"/>
  <c r="M11" i="8"/>
  <c r="D12" i="8"/>
  <c r="E12" i="8"/>
  <c r="F12" i="8"/>
  <c r="G12" i="8"/>
  <c r="H12" i="8"/>
  <c r="I12" i="8"/>
  <c r="J12" i="8"/>
  <c r="K12" i="8"/>
  <c r="L12" i="8"/>
  <c r="M12" i="8"/>
  <c r="D13" i="8"/>
  <c r="E13" i="8"/>
  <c r="F13" i="8"/>
  <c r="G13" i="8"/>
  <c r="H13" i="8"/>
  <c r="I13" i="8"/>
  <c r="J13" i="8"/>
  <c r="K13" i="8"/>
  <c r="L13" i="8"/>
  <c r="M13" i="8"/>
  <c r="B11" i="8"/>
  <c r="B12" i="8"/>
  <c r="B13" i="8"/>
  <c r="M7" i="8"/>
  <c r="L7" i="8"/>
  <c r="K7" i="8"/>
  <c r="J7" i="8"/>
  <c r="I7" i="8"/>
  <c r="H7" i="8"/>
  <c r="G7" i="8"/>
  <c r="F7" i="8"/>
  <c r="E7" i="8"/>
  <c r="D7" i="8"/>
  <c r="D44" i="7"/>
  <c r="D46" i="7" s="1"/>
  <c r="E44" i="7"/>
  <c r="E46" i="7" s="1"/>
  <c r="D13" i="10" s="1"/>
  <c r="F44" i="7"/>
  <c r="F46" i="7" s="1"/>
  <c r="G44" i="7"/>
  <c r="G46" i="7" s="1"/>
  <c r="H44" i="7"/>
  <c r="H46" i="7" s="1"/>
  <c r="I44" i="7"/>
  <c r="I46" i="7" s="1"/>
  <c r="J44" i="7"/>
  <c r="J46" i="7" s="1"/>
  <c r="K44" i="7"/>
  <c r="K46" i="7" s="1"/>
  <c r="L44" i="7"/>
  <c r="L46" i="7" s="1"/>
  <c r="M44" i="7"/>
  <c r="M46" i="7" s="1"/>
  <c r="N37" i="7"/>
  <c r="E37" i="7"/>
  <c r="F37" i="7"/>
  <c r="G37" i="7"/>
  <c r="H37" i="7"/>
  <c r="I37" i="7"/>
  <c r="J37" i="7"/>
  <c r="K37" i="7"/>
  <c r="L37" i="7"/>
  <c r="M37" i="7"/>
  <c r="N25" i="7"/>
  <c r="E25" i="7"/>
  <c r="F25" i="7"/>
  <c r="G25" i="7"/>
  <c r="H25" i="7"/>
  <c r="I25" i="7"/>
  <c r="J25" i="7"/>
  <c r="K25" i="7"/>
  <c r="L25" i="7"/>
  <c r="M25" i="7"/>
  <c r="D25" i="7"/>
  <c r="C13" i="10" s="1"/>
  <c r="E19" i="7"/>
  <c r="F19" i="7"/>
  <c r="G19" i="7"/>
  <c r="H19" i="7"/>
  <c r="I19" i="7"/>
  <c r="J19" i="7"/>
  <c r="K19" i="7"/>
  <c r="L19" i="7"/>
  <c r="M19" i="7"/>
  <c r="D19" i="7"/>
  <c r="N13" i="7"/>
  <c r="E13" i="7"/>
  <c r="F13" i="7"/>
  <c r="G13" i="7"/>
  <c r="H13" i="7"/>
  <c r="I13" i="7"/>
  <c r="J13" i="7"/>
  <c r="K13" i="7"/>
  <c r="L13" i="7"/>
  <c r="M13" i="7"/>
  <c r="D13" i="7"/>
  <c r="N10" i="7"/>
  <c r="N32" i="7" s="1"/>
  <c r="E10" i="7"/>
  <c r="F10" i="7"/>
  <c r="G10" i="7"/>
  <c r="H10" i="7"/>
  <c r="I10" i="7"/>
  <c r="J10" i="7"/>
  <c r="K10" i="7"/>
  <c r="L10" i="7"/>
  <c r="M10" i="7"/>
  <c r="D10" i="7"/>
  <c r="E7" i="7"/>
  <c r="F7" i="7"/>
  <c r="G7" i="7"/>
  <c r="H7" i="7"/>
  <c r="I7" i="7"/>
  <c r="J7" i="7"/>
  <c r="K7" i="7"/>
  <c r="L7" i="7"/>
  <c r="M7" i="7"/>
  <c r="D7" i="7"/>
  <c r="B6" i="7"/>
  <c r="B6" i="6"/>
  <c r="E1" i="6"/>
  <c r="I13" i="10" l="1"/>
  <c r="F13" i="10"/>
  <c r="L13" i="10"/>
  <c r="N14" i="7"/>
  <c r="D32" i="9"/>
  <c r="L18" i="9"/>
  <c r="K32" i="9"/>
  <c r="E13" i="10"/>
  <c r="C32" i="9"/>
  <c r="K18" i="9"/>
  <c r="L32" i="9"/>
  <c r="J18" i="9"/>
  <c r="H18" i="9"/>
  <c r="F18" i="9"/>
  <c r="G13" i="10"/>
  <c r="H42" i="9"/>
  <c r="I18" i="9"/>
  <c r="C18" i="9"/>
  <c r="D44" i="10" s="1"/>
  <c r="I32" i="9"/>
  <c r="G42" i="9"/>
  <c r="F32" i="9"/>
  <c r="D42" i="9"/>
  <c r="K42" i="9"/>
  <c r="I42" i="9"/>
  <c r="E42" i="9"/>
  <c r="C42" i="9"/>
  <c r="E18" i="9"/>
  <c r="D18" i="9"/>
  <c r="G18" i="9"/>
  <c r="J32" i="9"/>
  <c r="H32" i="9"/>
  <c r="G32" i="9"/>
  <c r="E32" i="9"/>
  <c r="L42" i="9"/>
  <c r="J42" i="9"/>
  <c r="F42" i="9"/>
  <c r="L32" i="7"/>
  <c r="K32" i="10"/>
  <c r="K38" i="10" s="1"/>
  <c r="K31" i="10"/>
  <c r="K37" i="10" s="1"/>
  <c r="K34" i="10"/>
  <c r="K35" i="10"/>
  <c r="K33" i="10"/>
  <c r="K39" i="10" s="1"/>
  <c r="K32" i="7"/>
  <c r="J35" i="10"/>
  <c r="J31" i="10"/>
  <c r="J37" i="10" s="1"/>
  <c r="J34" i="10"/>
  <c r="J32" i="10"/>
  <c r="J38" i="10" s="1"/>
  <c r="J33" i="10"/>
  <c r="J39" i="10" s="1"/>
  <c r="F32" i="7"/>
  <c r="E34" i="10"/>
  <c r="E33" i="10"/>
  <c r="E39" i="10" s="1"/>
  <c r="E32" i="10"/>
  <c r="E38" i="10" s="1"/>
  <c r="E31" i="10"/>
  <c r="E37" i="10" s="1"/>
  <c r="E35" i="10"/>
  <c r="D32" i="7"/>
  <c r="C35" i="10"/>
  <c r="C34" i="10"/>
  <c r="C32" i="10"/>
  <c r="C31" i="10"/>
  <c r="C33" i="10"/>
  <c r="H32" i="7"/>
  <c r="G33" i="10"/>
  <c r="G39" i="10" s="1"/>
  <c r="G34" i="10"/>
  <c r="G31" i="10"/>
  <c r="G37" i="10" s="1"/>
  <c r="G35" i="10"/>
  <c r="G32" i="10"/>
  <c r="G38" i="10" s="1"/>
  <c r="E32" i="7"/>
  <c r="D33" i="10"/>
  <c r="D34" i="10"/>
  <c r="D32" i="10"/>
  <c r="D31" i="10"/>
  <c r="D35" i="10"/>
  <c r="M32" i="7"/>
  <c r="L32" i="10"/>
  <c r="L38" i="10" s="1"/>
  <c r="L35" i="10"/>
  <c r="L33" i="10"/>
  <c r="L39" i="10" s="1"/>
  <c r="L31" i="10"/>
  <c r="L37" i="10" s="1"/>
  <c r="L34" i="10"/>
  <c r="J32" i="7"/>
  <c r="I31" i="10"/>
  <c r="I37" i="10" s="1"/>
  <c r="I35" i="10"/>
  <c r="I32" i="10"/>
  <c r="I38" i="10" s="1"/>
  <c r="I34" i="10"/>
  <c r="I33" i="10"/>
  <c r="I39" i="10" s="1"/>
  <c r="I32" i="7"/>
  <c r="H31" i="10"/>
  <c r="H37" i="10" s="1"/>
  <c r="H35" i="10"/>
  <c r="H33" i="10"/>
  <c r="H39" i="10" s="1"/>
  <c r="H34" i="10"/>
  <c r="H32" i="10"/>
  <c r="H38" i="10" s="1"/>
  <c r="G32" i="7"/>
  <c r="F34" i="10"/>
  <c r="F33" i="10"/>
  <c r="F39" i="10" s="1"/>
  <c r="F31" i="10"/>
  <c r="F37" i="10" s="1"/>
  <c r="F35" i="10"/>
  <c r="F32" i="10"/>
  <c r="F38" i="10" s="1"/>
  <c r="J13" i="10"/>
  <c r="H13" i="10"/>
  <c r="F20" i="7"/>
  <c r="G11" i="7"/>
  <c r="F9" i="10" s="1"/>
  <c r="F14" i="7"/>
  <c r="E21" i="10" s="1"/>
  <c r="K13" i="10"/>
  <c r="D14" i="7"/>
  <c r="C21" i="10" s="1"/>
  <c r="K14" i="7"/>
  <c r="J21" i="10" s="1"/>
  <c r="L25" i="8"/>
  <c r="G25" i="8"/>
  <c r="L19" i="8"/>
  <c r="L20" i="8" s="1"/>
  <c r="M19" i="8"/>
  <c r="M20" i="8" s="1"/>
  <c r="M20" i="7"/>
  <c r="J11" i="7"/>
  <c r="I9" i="10" s="1"/>
  <c r="I14" i="7"/>
  <c r="H21" i="10" s="1"/>
  <c r="M14" i="7"/>
  <c r="L21" i="10" s="1"/>
  <c r="H26" i="7"/>
  <c r="G22" i="10" s="1"/>
  <c r="I20" i="7"/>
  <c r="I11" i="7"/>
  <c r="H9" i="10" s="1"/>
  <c r="M11" i="7"/>
  <c r="L9" i="10" s="1"/>
  <c r="M25" i="8"/>
  <c r="M16" i="7"/>
  <c r="M17" i="7" s="1"/>
  <c r="L15" i="10" s="1"/>
  <c r="D25" i="8"/>
  <c r="H14" i="7"/>
  <c r="G21" i="10" s="1"/>
  <c r="H20" i="7"/>
  <c r="D26" i="7"/>
  <c r="C22" i="10" s="1"/>
  <c r="G20" i="7"/>
  <c r="G26" i="7"/>
  <c r="F22" i="10" s="1"/>
  <c r="F26" i="7"/>
  <c r="E22" i="10" s="1"/>
  <c r="E26" i="7"/>
  <c r="D22" i="10" s="1"/>
  <c r="F16" i="7"/>
  <c r="F17" i="7" s="1"/>
  <c r="E15" i="10" s="1"/>
  <c r="N26" i="7"/>
  <c r="K16" i="7"/>
  <c r="K22" i="7" s="1"/>
  <c r="L20" i="7"/>
  <c r="K20" i="7"/>
  <c r="M26" i="7"/>
  <c r="L22" i="10" s="1"/>
  <c r="I25" i="8"/>
  <c r="G14" i="7"/>
  <c r="F21" i="10" s="1"/>
  <c r="H25" i="8"/>
  <c r="L14" i="7"/>
  <c r="K21" i="10" s="1"/>
  <c r="L16" i="7"/>
  <c r="L11" i="7"/>
  <c r="K9" i="10" s="1"/>
  <c r="K26" i="7"/>
  <c r="J22" i="10" s="1"/>
  <c r="E25" i="8"/>
  <c r="N16" i="7"/>
  <c r="N17" i="7" s="1"/>
  <c r="L26" i="7"/>
  <c r="K22" i="10" s="1"/>
  <c r="D16" i="7"/>
  <c r="D17" i="7" s="1"/>
  <c r="C15" i="10" s="1"/>
  <c r="J26" i="7"/>
  <c r="I22" i="10" s="1"/>
  <c r="K25" i="8"/>
  <c r="I16" i="7"/>
  <c r="I22" i="7" s="1"/>
  <c r="J20" i="7"/>
  <c r="F25" i="8"/>
  <c r="H16" i="7"/>
  <c r="H22" i="7" s="1"/>
  <c r="G16" i="7"/>
  <c r="G17" i="7" s="1"/>
  <c r="F15" i="10" s="1"/>
  <c r="F11" i="7"/>
  <c r="E9" i="10" s="1"/>
  <c r="H11" i="7"/>
  <c r="G9" i="10" s="1"/>
  <c r="D20" i="7"/>
  <c r="I26" i="7"/>
  <c r="H22" i="10" s="1"/>
  <c r="J25" i="8"/>
  <c r="M14" i="8"/>
  <c r="J14" i="8"/>
  <c r="I14" i="8"/>
  <c r="H14" i="8"/>
  <c r="K14" i="8"/>
  <c r="G14" i="8"/>
  <c r="F14" i="8"/>
  <c r="E14" i="8"/>
  <c r="D14" i="8"/>
  <c r="L14" i="8"/>
  <c r="J19" i="8"/>
  <c r="J20" i="8" s="1"/>
  <c r="K19" i="8"/>
  <c r="K20" i="8" s="1"/>
  <c r="I19" i="8"/>
  <c r="I20" i="8" s="1"/>
  <c r="D19" i="8"/>
  <c r="D20" i="8" s="1"/>
  <c r="E19" i="8"/>
  <c r="E20" i="8" s="1"/>
  <c r="H19" i="8"/>
  <c r="H20" i="8" s="1"/>
  <c r="F19" i="8"/>
  <c r="F20" i="8" s="1"/>
  <c r="F27" i="8" s="1"/>
  <c r="G19" i="8"/>
  <c r="G20" i="8" s="1"/>
  <c r="N11" i="7"/>
  <c r="J14" i="7"/>
  <c r="I21" i="10" s="1"/>
  <c r="J16" i="7"/>
  <c r="E20" i="7"/>
  <c r="K11" i="7"/>
  <c r="J9" i="10" s="1"/>
  <c r="N20" i="7"/>
  <c r="E11" i="7"/>
  <c r="D9" i="10" s="1"/>
  <c r="E14" i="7"/>
  <c r="D21" i="10" s="1"/>
  <c r="E16" i="7"/>
  <c r="L44" i="9" l="1"/>
  <c r="E43" i="10"/>
  <c r="C44" i="10"/>
  <c r="H42" i="10"/>
  <c r="G44" i="10"/>
  <c r="H44" i="10"/>
  <c r="D44" i="9"/>
  <c r="I42" i="10"/>
  <c r="E44" i="9"/>
  <c r="O13" i="10"/>
  <c r="I44" i="10"/>
  <c r="G44" i="9"/>
  <c r="J42" i="10"/>
  <c r="K44" i="10"/>
  <c r="C42" i="10"/>
  <c r="G40" i="10"/>
  <c r="E42" i="10"/>
  <c r="L44" i="10"/>
  <c r="F44" i="9"/>
  <c r="K40" i="10"/>
  <c r="F42" i="10"/>
  <c r="J44" i="9"/>
  <c r="E44" i="10"/>
  <c r="K42" i="10"/>
  <c r="K44" i="9"/>
  <c r="F44" i="10"/>
  <c r="G42" i="10"/>
  <c r="I44" i="9"/>
  <c r="L42" i="10"/>
  <c r="N13" i="10"/>
  <c r="H40" i="10"/>
  <c r="J44" i="10"/>
  <c r="H44" i="9"/>
  <c r="D42" i="10"/>
  <c r="C44" i="9"/>
  <c r="F40" i="10"/>
  <c r="D37" i="10"/>
  <c r="N31" i="10"/>
  <c r="C37" i="10"/>
  <c r="O31" i="10"/>
  <c r="N35" i="10"/>
  <c r="O33" i="10"/>
  <c r="C39" i="10"/>
  <c r="O21" i="10"/>
  <c r="N22" i="10"/>
  <c r="I40" i="10"/>
  <c r="D38" i="10"/>
  <c r="N38" i="10" s="1"/>
  <c r="N32" i="10"/>
  <c r="O32" i="10"/>
  <c r="C38" i="10"/>
  <c r="O35" i="10"/>
  <c r="N33" i="10"/>
  <c r="D39" i="10"/>
  <c r="N39" i="10" s="1"/>
  <c r="N34" i="10"/>
  <c r="O34" i="10"/>
  <c r="J40" i="10"/>
  <c r="O22" i="10"/>
  <c r="N21" i="10"/>
  <c r="O9" i="10"/>
  <c r="N9" i="10"/>
  <c r="L40" i="10"/>
  <c r="E40" i="10"/>
  <c r="H10" i="10"/>
  <c r="K27" i="8"/>
  <c r="J43" i="10" s="1"/>
  <c r="L27" i="8"/>
  <c r="K43" i="10" s="1"/>
  <c r="G27" i="8"/>
  <c r="F43" i="10" s="1"/>
  <c r="M27" i="8"/>
  <c r="L43" i="10" s="1"/>
  <c r="M22" i="7"/>
  <c r="D27" i="8"/>
  <c r="C43" i="10" s="1"/>
  <c r="H17" i="7"/>
  <c r="G15" i="10" s="1"/>
  <c r="F29" i="8"/>
  <c r="K28" i="7"/>
  <c r="K23" i="7"/>
  <c r="J16" i="10" s="1"/>
  <c r="H27" i="8"/>
  <c r="K17" i="7"/>
  <c r="J15" i="10" s="1"/>
  <c r="F22" i="7"/>
  <c r="I27" i="8"/>
  <c r="D22" i="7"/>
  <c r="N22" i="7"/>
  <c r="N28" i="7" s="1"/>
  <c r="N34" i="7" s="1"/>
  <c r="L22" i="7"/>
  <c r="K10" i="10" s="1"/>
  <c r="L17" i="7"/>
  <c r="K15" i="10" s="1"/>
  <c r="E27" i="8"/>
  <c r="G22" i="7"/>
  <c r="I17" i="7"/>
  <c r="H15" i="10" s="1"/>
  <c r="J27" i="8"/>
  <c r="I23" i="7"/>
  <c r="H16" i="10" s="1"/>
  <c r="I28" i="7"/>
  <c r="H23" i="7"/>
  <c r="G16" i="10" s="1"/>
  <c r="H28" i="7"/>
  <c r="E17" i="7"/>
  <c r="D15" i="10" s="1"/>
  <c r="E22" i="7"/>
  <c r="J17" i="7"/>
  <c r="I15" i="10" s="1"/>
  <c r="J22" i="7"/>
  <c r="I10" i="10" s="1"/>
  <c r="O39" i="10" l="1"/>
  <c r="N44" i="10"/>
  <c r="N42" i="10"/>
  <c r="O44" i="10"/>
  <c r="O15" i="10"/>
  <c r="O42" i="10"/>
  <c r="D29" i="8"/>
  <c r="H29" i="8"/>
  <c r="G43" i="10"/>
  <c r="K34" i="7"/>
  <c r="J25" i="10"/>
  <c r="J29" i="10"/>
  <c r="E29" i="8"/>
  <c r="D43" i="10"/>
  <c r="N15" i="10"/>
  <c r="O38" i="10"/>
  <c r="J29" i="8"/>
  <c r="I43" i="10"/>
  <c r="N35" i="7"/>
  <c r="N40" i="7"/>
  <c r="N41" i="7" s="1"/>
  <c r="K29" i="8"/>
  <c r="C40" i="10"/>
  <c r="O37" i="10"/>
  <c r="I29" i="8"/>
  <c r="H43" i="10"/>
  <c r="N37" i="10"/>
  <c r="D40" i="10"/>
  <c r="N40" i="10" s="1"/>
  <c r="G29" i="8"/>
  <c r="L29" i="8"/>
  <c r="H34" i="7"/>
  <c r="G25" i="10"/>
  <c r="G29" i="10"/>
  <c r="M29" i="8"/>
  <c r="I34" i="7"/>
  <c r="H25" i="10"/>
  <c r="H29" i="10"/>
  <c r="E23" i="7"/>
  <c r="D16" i="10" s="1"/>
  <c r="D10" i="10"/>
  <c r="H11" i="10"/>
  <c r="M28" i="7"/>
  <c r="L10" i="10"/>
  <c r="K38" i="7"/>
  <c r="D23" i="7"/>
  <c r="C10" i="10"/>
  <c r="F28" i="7"/>
  <c r="F29" i="7" s="1"/>
  <c r="E10" i="10"/>
  <c r="G28" i="7"/>
  <c r="F10" i="10"/>
  <c r="M23" i="7"/>
  <c r="L16" i="10" s="1"/>
  <c r="J10" i="10"/>
  <c r="G10" i="10"/>
  <c r="K29" i="7"/>
  <c r="D28" i="7"/>
  <c r="N23" i="7"/>
  <c r="F23" i="7"/>
  <c r="E16" i="10" s="1"/>
  <c r="G23" i="7"/>
  <c r="F16" i="10" s="1"/>
  <c r="L23" i="7"/>
  <c r="K16" i="10" s="1"/>
  <c r="L28" i="7"/>
  <c r="E28" i="7"/>
  <c r="H29" i="7"/>
  <c r="H38" i="7"/>
  <c r="N38" i="7"/>
  <c r="N29" i="7"/>
  <c r="I29" i="7"/>
  <c r="I38" i="7"/>
  <c r="J23" i="7"/>
  <c r="I16" i="10" s="1"/>
  <c r="J28" i="7"/>
  <c r="N16" i="10" l="1"/>
  <c r="L29" i="10"/>
  <c r="L25" i="10"/>
  <c r="G17" i="10"/>
  <c r="G23" i="10"/>
  <c r="N43" i="10"/>
  <c r="K25" i="10"/>
  <c r="K29" i="10"/>
  <c r="E17" i="10"/>
  <c r="E23" i="10"/>
  <c r="O43" i="10"/>
  <c r="K35" i="7"/>
  <c r="J18" i="10" s="1"/>
  <c r="K40" i="7"/>
  <c r="J27" i="10" s="1"/>
  <c r="H17" i="10"/>
  <c r="H23" i="10"/>
  <c r="C25" i="10"/>
  <c r="C29" i="10"/>
  <c r="J17" i="10"/>
  <c r="J23" i="10"/>
  <c r="E34" i="7"/>
  <c r="D29" i="10"/>
  <c r="D25" i="10"/>
  <c r="I35" i="7"/>
  <c r="H18" i="10" s="1"/>
  <c r="I40" i="7"/>
  <c r="H27" i="10" s="1"/>
  <c r="I25" i="10"/>
  <c r="I29" i="10"/>
  <c r="E29" i="10"/>
  <c r="E25" i="10"/>
  <c r="O40" i="10"/>
  <c r="H35" i="7"/>
  <c r="G18" i="10" s="1"/>
  <c r="H40" i="7"/>
  <c r="G27" i="10" s="1"/>
  <c r="N10" i="10"/>
  <c r="O10" i="10"/>
  <c r="F25" i="10"/>
  <c r="F29" i="10"/>
  <c r="K11" i="10"/>
  <c r="L34" i="7"/>
  <c r="I11" i="10"/>
  <c r="J34" i="7"/>
  <c r="G11" i="10"/>
  <c r="G34" i="7"/>
  <c r="E11" i="10"/>
  <c r="F34" i="7"/>
  <c r="D34" i="7"/>
  <c r="M38" i="7"/>
  <c r="M34" i="7"/>
  <c r="L11" i="10"/>
  <c r="D29" i="7"/>
  <c r="M29" i="7"/>
  <c r="G38" i="7"/>
  <c r="G29" i="7"/>
  <c r="C16" i="10"/>
  <c r="O16" i="10" s="1"/>
  <c r="C11" i="10"/>
  <c r="J11" i="10"/>
  <c r="D11" i="10"/>
  <c r="F38" i="7"/>
  <c r="F11" i="10"/>
  <c r="L38" i="7"/>
  <c r="L29" i="7"/>
  <c r="J29" i="7"/>
  <c r="J38" i="7"/>
  <c r="E29" i="7"/>
  <c r="E38" i="7"/>
  <c r="K45" i="7" l="1"/>
  <c r="K47" i="7" s="1"/>
  <c r="K48" i="7" s="1"/>
  <c r="J26" i="10" s="1"/>
  <c r="J28" i="10" s="1"/>
  <c r="K41" i="7"/>
  <c r="J19" i="10" s="1"/>
  <c r="M35" i="7"/>
  <c r="L18" i="10" s="1"/>
  <c r="M40" i="7"/>
  <c r="M41" i="7" s="1"/>
  <c r="L19" i="10" s="1"/>
  <c r="C17" i="10"/>
  <c r="C23" i="10"/>
  <c r="H12" i="10"/>
  <c r="N25" i="10"/>
  <c r="I41" i="7"/>
  <c r="H19" i="10" s="1"/>
  <c r="D35" i="7"/>
  <c r="C18" i="10" s="1"/>
  <c r="D40" i="7"/>
  <c r="D12" i="10" s="1"/>
  <c r="D38" i="7"/>
  <c r="N29" i="10"/>
  <c r="F35" i="7"/>
  <c r="E18" i="10" s="1"/>
  <c r="F40" i="7"/>
  <c r="G35" i="7"/>
  <c r="F18" i="10" s="1"/>
  <c r="G40" i="7"/>
  <c r="G45" i="7" s="1"/>
  <c r="G47" i="7" s="1"/>
  <c r="G48" i="7" s="1"/>
  <c r="F26" i="10" s="1"/>
  <c r="O25" i="10"/>
  <c r="L35" i="7"/>
  <c r="K18" i="10" s="1"/>
  <c r="L40" i="7"/>
  <c r="I17" i="10"/>
  <c r="I23" i="10"/>
  <c r="I45" i="7"/>
  <c r="I47" i="7" s="1"/>
  <c r="I48" i="7" s="1"/>
  <c r="H26" i="10" s="1"/>
  <c r="H28" i="10" s="1"/>
  <c r="O29" i="10"/>
  <c r="H41" i="7"/>
  <c r="G19" i="10" s="1"/>
  <c r="N11" i="10"/>
  <c r="O11" i="10"/>
  <c r="E35" i="7"/>
  <c r="D18" i="10" s="1"/>
  <c r="E40" i="7"/>
  <c r="D27" i="10" s="1"/>
  <c r="K17" i="10"/>
  <c r="K23" i="10"/>
  <c r="D23" i="10"/>
  <c r="D17" i="10"/>
  <c r="F17" i="10"/>
  <c r="F23" i="10"/>
  <c r="J35" i="7"/>
  <c r="I18" i="10" s="1"/>
  <c r="J40" i="7"/>
  <c r="J12" i="10" s="1"/>
  <c r="H45" i="7"/>
  <c r="H47" i="7" s="1"/>
  <c r="H48" i="7" s="1"/>
  <c r="G26" i="10" s="1"/>
  <c r="G28" i="10" s="1"/>
  <c r="L17" i="10"/>
  <c r="L23" i="10"/>
  <c r="J41" i="7" l="1"/>
  <c r="I19" i="10" s="1"/>
  <c r="J45" i="7"/>
  <c r="J47" i="7" s="1"/>
  <c r="J48" i="7" s="1"/>
  <c r="I26" i="10" s="1"/>
  <c r="F12" i="10"/>
  <c r="G12" i="10"/>
  <c r="O18" i="10"/>
  <c r="E45" i="7"/>
  <c r="E47" i="7" s="1"/>
  <c r="E48" i="7" s="1"/>
  <c r="D26" i="10" s="1"/>
  <c r="D28" i="10" s="1"/>
  <c r="E41" i="7"/>
  <c r="D19" i="10" s="1"/>
  <c r="N17" i="10"/>
  <c r="O17" i="10"/>
  <c r="L27" i="10"/>
  <c r="M45" i="7"/>
  <c r="M47" i="7" s="1"/>
  <c r="M48" i="7" s="1"/>
  <c r="L26" i="10" s="1"/>
  <c r="C27" i="10"/>
  <c r="D41" i="7"/>
  <c r="C19" i="10" s="1"/>
  <c r="N23" i="10"/>
  <c r="D45" i="7"/>
  <c r="D47" i="7" s="1"/>
  <c r="D48" i="7" s="1"/>
  <c r="C26" i="10" s="1"/>
  <c r="N18" i="10"/>
  <c r="L12" i="10"/>
  <c r="I27" i="10"/>
  <c r="I28" i="10" s="1"/>
  <c r="I12" i="10"/>
  <c r="E27" i="10"/>
  <c r="F41" i="7"/>
  <c r="E19" i="10" s="1"/>
  <c r="F45" i="7"/>
  <c r="F47" i="7" s="1"/>
  <c r="F48" i="7" s="1"/>
  <c r="E26" i="10" s="1"/>
  <c r="K27" i="10"/>
  <c r="K12" i="10"/>
  <c r="O23" i="10"/>
  <c r="L41" i="7"/>
  <c r="K19" i="10" s="1"/>
  <c r="F27" i="10"/>
  <c r="F28" i="10" s="1"/>
  <c r="G41" i="7"/>
  <c r="F19" i="10" s="1"/>
  <c r="L45" i="7"/>
  <c r="L47" i="7" s="1"/>
  <c r="L48" i="7" s="1"/>
  <c r="K26" i="10" s="1"/>
  <c r="E12" i="10"/>
  <c r="E28" i="10" l="1"/>
  <c r="L28" i="10"/>
  <c r="O19" i="10"/>
  <c r="N12" i="10"/>
  <c r="N19" i="10"/>
  <c r="N27" i="10"/>
  <c r="O27" i="10"/>
  <c r="K28" i="10"/>
  <c r="O12" i="10"/>
  <c r="C28" i="10"/>
  <c r="O26" i="10"/>
  <c r="N26" i="10"/>
  <c r="O28" i="10" l="1"/>
  <c r="N2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948F32-514D-440A-934B-AB76D0710640}" keepAlive="1" name="Query - BergerPaints Stock" description="Connection to the 'BergerPaints Stock' query in the workbook." type="5" refreshedVersion="8" background="1" saveData="1">
    <dbPr connection="Provider=Microsoft.Mashup.OleDb.1;Data Source=$Workbook$;Location=&quot;BergerPaints Stock&quot;;Extended Properties=&quot;&quot;" command="SELECT * FROM [BergerPaints Stock]"/>
  </connection>
  <connection id="2" xr16:uid="{0F299BD3-EE6B-47FE-8044-A58DC730B2CD}" keepAlive="1" name="Query - Nifty Stocks" description="Connection to the 'Nifty Stocks' query in the workbook." type="5" refreshedVersion="8" background="1" saveData="1">
    <dbPr connection="Provider=Microsoft.Mashup.OleDb.1;Data Source=$Workbook$;Location=&quot;Nifty Stocks&quot;;Extended Properties=&quot;&quot;" command="SELECT * FROM [Nifty Stocks]"/>
  </connection>
  <connection id="3" xr16:uid="{5D741688-4A32-47CF-AF5E-C89ADF616186}" keepAlive="1" name="Query - Source" description="Connection to the 'Source' query in the workbook." type="5" refreshedVersion="0" background="1">
    <dbPr connection="Provider=Microsoft.Mashup.OleDb.1;Data Source=$Workbook$;Location=Source;Extended Properties=&quot;&quot;" command="SELECT * FROM [Source]"/>
  </connection>
</connections>
</file>

<file path=xl/sharedStrings.xml><?xml version="1.0" encoding="utf-8"?>
<sst xmlns="http://schemas.openxmlformats.org/spreadsheetml/2006/main" count="379" uniqueCount="292">
  <si>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</si>
  <si>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</si>
  <si>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</si>
  <si>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</si>
  <si>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</si>
  <si>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</si>
  <si>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</si>
  <si>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</si>
  <si>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</si>
  <si>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</si>
  <si>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</si>
  <si>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</si>
  <si>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</si>
  <si>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</si>
  <si>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</si>
  <si>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</si>
  <si>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</si>
  <si>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</si>
  <si>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</si>
  <si>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</si>
  <si>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</si>
  <si>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</si>
  <si>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</si>
  <si>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</si>
  <si>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</si>
  <si>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</si>
  <si>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</si>
  <si>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</si>
  <si>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</si>
  <si>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</si>
  <si>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</si>
  <si>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</si>
  <si>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BERGER PAINTS INDIA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</si>
  <si>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</si>
  <si>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</si>
  <si>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</si>
  <si>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</si>
  <si>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</si>
  <si>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</si>
  <si>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</si>
  <si>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</si>
  <si>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</si>
  <si>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</si>
  <si>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</si>
  <si>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</si>
  <si>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</si>
  <si>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</si>
  <si>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</si>
  <si>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</si>
  <si>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</si>
  <si>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</si>
  <si>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</si>
  <si>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</si>
  <si>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</si>
  <si>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</si>
  <si>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Income Statement</t>
  </si>
  <si>
    <t>LTM</t>
  </si>
  <si>
    <t>COGS</t>
  </si>
  <si>
    <t>Sales Growth</t>
  </si>
  <si>
    <t>COGS as % of Revenue</t>
  </si>
  <si>
    <t>Gross Profit</t>
  </si>
  <si>
    <t>Gross Margin</t>
  </si>
  <si>
    <t>Selling &amp; general expenses</t>
  </si>
  <si>
    <t>S &amp; G %</t>
  </si>
  <si>
    <t>EBITDA</t>
  </si>
  <si>
    <t>EBITDA Margins</t>
  </si>
  <si>
    <t>EBIT</t>
  </si>
  <si>
    <t>EBIT%</t>
  </si>
  <si>
    <t>Tax rate</t>
  </si>
  <si>
    <t>Tax%</t>
  </si>
  <si>
    <t>EAT/Net Profit</t>
  </si>
  <si>
    <t>Profit Margin</t>
  </si>
  <si>
    <t>Dividend</t>
  </si>
  <si>
    <t>Divided Payout Ratio</t>
  </si>
  <si>
    <t>Earning Per Share</t>
  </si>
  <si>
    <t>Retained Earnings</t>
  </si>
  <si>
    <t>No. of Shares</t>
  </si>
  <si>
    <t>Balance Sheet</t>
  </si>
  <si>
    <t>Total Liabilities</t>
  </si>
  <si>
    <t>Total Non Current Assets</t>
  </si>
  <si>
    <t>Total Current Assets</t>
  </si>
  <si>
    <t>Total Assets</t>
  </si>
  <si>
    <t>Balance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</si>
  <si>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</si>
  <si>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</si>
  <si>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</si>
  <si>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</si>
  <si>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</si>
  <si>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</si>
  <si>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</si>
  <si>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</si>
  <si>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</si>
  <si>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</si>
  <si>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</si>
  <si>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</si>
  <si>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</si>
  <si>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</si>
  <si>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</si>
  <si>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</si>
  <si>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</si>
  <si>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</si>
  <si>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</si>
  <si>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</si>
  <si>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</si>
  <si>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</si>
  <si>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</si>
  <si>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</si>
  <si>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</si>
  <si>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</si>
  <si>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</si>
  <si>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Activies</t>
  </si>
  <si>
    <t>Total Operating Cash</t>
  </si>
  <si>
    <t>Investing Activities</t>
  </si>
  <si>
    <t>Total Investing Cash</t>
  </si>
  <si>
    <t>Financing Activities</t>
  </si>
  <si>
    <t>Total Financing Cash</t>
  </si>
  <si>
    <t>EBITDA Growth</t>
  </si>
  <si>
    <t>EBIT Growth</t>
  </si>
  <si>
    <t>Net Profit</t>
  </si>
  <si>
    <t>Dividend Growth</t>
  </si>
  <si>
    <t>EBITDA Margin</t>
  </si>
  <si>
    <t>EBIT Margin</t>
  </si>
  <si>
    <t>EBT Margin</t>
  </si>
  <si>
    <t>Interest Rate%</t>
  </si>
  <si>
    <t xml:space="preserve">EBT </t>
  </si>
  <si>
    <t>EBT%</t>
  </si>
  <si>
    <t>Net Profit Margin</t>
  </si>
  <si>
    <t>Sales Expenses% of Sales</t>
  </si>
  <si>
    <t>Depriciation as % of Sales</t>
  </si>
  <si>
    <t>Operating Income as a % of Sales</t>
  </si>
  <si>
    <t>Return on Capital Employed</t>
  </si>
  <si>
    <t>Retained Earnings%</t>
  </si>
  <si>
    <t>Return on Equity%</t>
  </si>
  <si>
    <t>Self Sustain Growth Rate</t>
  </si>
  <si>
    <t>Interest Covering Ratio</t>
  </si>
  <si>
    <t>Debtor Turnover Ratio</t>
  </si>
  <si>
    <t>Creditor Turnover Ratio</t>
  </si>
  <si>
    <t>Inventory Turnover Ratio</t>
  </si>
  <si>
    <t>Fixed Assets Turnover Ratio</t>
  </si>
  <si>
    <t>Capital Turnover Ratio</t>
  </si>
  <si>
    <t>Debtor Days</t>
  </si>
  <si>
    <t>Creditor Days</t>
  </si>
  <si>
    <t>Inventory Days</t>
  </si>
  <si>
    <t>Cash Conversion Cycle</t>
  </si>
  <si>
    <t>CFO/Sales</t>
  </si>
  <si>
    <t>CFO/Total Assests</t>
  </si>
  <si>
    <t>CFO/Total Debt</t>
  </si>
  <si>
    <t>Trend</t>
  </si>
  <si>
    <t>Mean</t>
  </si>
  <si>
    <t>Median</t>
  </si>
  <si>
    <t>Weight</t>
  </si>
  <si>
    <t>Growth</t>
  </si>
  <si>
    <t>-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</si>
  <si>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</si>
  <si>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</si>
  <si>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</si>
  <si>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</si>
  <si>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</si>
  <si>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</si>
  <si>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</si>
  <si>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</si>
  <si>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</si>
  <si>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</si>
  <si>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</si>
  <si>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</si>
  <si>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</si>
  <si>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</si>
  <si>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</si>
  <si>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</si>
  <si>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</si>
  <si>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</si>
  <si>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</si>
  <si>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</si>
  <si>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</si>
  <si>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</si>
  <si>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</si>
  <si>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1st Method Average</t>
  </si>
  <si>
    <t>2nd Method Geo Mean</t>
  </si>
  <si>
    <t>Another Way</t>
  </si>
  <si>
    <t>3rd Method Regression</t>
  </si>
  <si>
    <t>Beta = “how jumpy” the stock is</t>
  </si>
  <si>
    <t>Weighted Average Cost of Capital</t>
  </si>
  <si>
    <t>All Figures are in INR unless Stated otherwise</t>
  </si>
  <si>
    <t>Peer Comps</t>
  </si>
  <si>
    <t>Debt/</t>
  </si>
  <si>
    <t>Levered/</t>
  </si>
  <si>
    <t>Unlevered/</t>
  </si>
  <si>
    <t>Name of the Comp</t>
  </si>
  <si>
    <t>Country</t>
  </si>
  <si>
    <t>Total Debt</t>
  </si>
  <si>
    <t>Total Equity</t>
  </si>
  <si>
    <r>
      <t>Tax Rate</t>
    </r>
    <r>
      <rPr>
        <vertAlign val="superscript"/>
        <sz val="11"/>
        <color theme="1"/>
        <rFont val="Calibri"/>
        <family val="2"/>
        <scheme val="minor"/>
      </rPr>
      <t xml:space="preserve"> 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</si>
  <si>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</si>
  <si>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</si>
  <si>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</si>
  <si>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</si>
  <si>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India</t>
  </si>
  <si>
    <t>LB/(1+(1 - Tax)* Debt/Equity)</t>
  </si>
  <si>
    <t>Average</t>
  </si>
  <si>
    <t>Cost of Debt</t>
  </si>
  <si>
    <t>Cost of Equity</t>
  </si>
  <si>
    <t>Pre-Tax Cost of Debt</t>
  </si>
  <si>
    <t>Risk Free Rate</t>
  </si>
  <si>
    <t>Tax Rate</t>
  </si>
  <si>
    <t>Equity Risk Premium</t>
  </si>
  <si>
    <t>After-Tax Cost of Debt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</si>
  <si>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</si>
  <si>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Structure</t>
  </si>
  <si>
    <t>Levered Beta</t>
  </si>
  <si>
    <t>Current</t>
  </si>
  <si>
    <t>Target</t>
  </si>
  <si>
    <t>Comps Median Unlevered Beta</t>
  </si>
  <si>
    <t>Target Debt/Equity</t>
  </si>
  <si>
    <t>Total Capital</t>
  </si>
  <si>
    <t>Debt/Equity</t>
  </si>
  <si>
    <t>Equity Weight</t>
  </si>
  <si>
    <t>Debt Weight</t>
  </si>
  <si>
    <t>WACC</t>
  </si>
  <si>
    <t>Name</t>
  </si>
  <si>
    <t>Date</t>
  </si>
  <si>
    <t>Price</t>
  </si>
  <si>
    <t>Change %</t>
  </si>
  <si>
    <t>Bergre Paints Stock Price of Two Years</t>
  </si>
  <si>
    <t>Nifty Stocks Price</t>
  </si>
  <si>
    <t>Beta Calculation</t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</si>
  <si>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</si>
  <si>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</si>
  <si>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</si>
  <si>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X Variable 1</t>
  </si>
  <si>
    <t>Beta Drifting</t>
  </si>
  <si>
    <t>LB Weight</t>
  </si>
  <si>
    <t>Market Beta</t>
  </si>
  <si>
    <t>Market Weight</t>
  </si>
  <si>
    <t>Adjusted Beta</t>
  </si>
  <si>
    <t>CMP Rs.</t>
  </si>
  <si>
    <t>Mar Cap Rs.Cr.</t>
  </si>
  <si>
    <t>Debt Rs.Cr.</t>
  </si>
  <si>
    <t>Asian Paints</t>
  </si>
  <si>
    <t>Berger Paints</t>
  </si>
  <si>
    <t>Kansai Nerolac</t>
  </si>
  <si>
    <t>Akzo Nobel</t>
  </si>
  <si>
    <t>Indigo Paints</t>
  </si>
  <si>
    <t>Sno.</t>
  </si>
  <si>
    <t>Year</t>
  </si>
  <si>
    <t>Annual</t>
  </si>
  <si>
    <t>Average Return</t>
  </si>
  <si>
    <t>Dividend Yeild</t>
  </si>
  <si>
    <t>Total Market Return</t>
  </si>
  <si>
    <t>Current Assests</t>
  </si>
  <si>
    <t xml:space="preserve"> </t>
  </si>
  <si>
    <t>Equity Capital</t>
  </si>
  <si>
    <t>Borrowings +</t>
  </si>
  <si>
    <t>Fixed Assets -</t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</si>
  <si>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</si>
  <si>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</si>
  <si>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</si>
  <si>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</si>
  <si>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</si>
  <si>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</si>
  <si>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</si>
  <si>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</si>
  <si>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</si>
  <si>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</si>
  <si>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</si>
  <si>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</si>
  <si>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Accumulated Depriciation</t>
  </si>
  <si>
    <t>Inventories</t>
  </si>
  <si>
    <t>Trade receivables +</t>
  </si>
  <si>
    <t>Cash Equivalents</t>
  </si>
  <si>
    <t>Loans n Advances</t>
  </si>
  <si>
    <t>Other asset items</t>
  </si>
  <si>
    <t>Current Liabilities</t>
  </si>
  <si>
    <t>Total Current Liabilities</t>
  </si>
  <si>
    <t>Other Liabilities -</t>
  </si>
  <si>
    <t>Non controlling int</t>
  </si>
  <si>
    <t>Trade Payables</t>
  </si>
  <si>
    <t>Advance from Customers</t>
  </si>
  <si>
    <t>Other liability items</t>
  </si>
  <si>
    <t>Net Woking Capital</t>
  </si>
  <si>
    <t>Fixed Assets</t>
  </si>
  <si>
    <t>Investment Capital</t>
  </si>
  <si>
    <t>ROIC (Return on Investment Capital)</t>
  </si>
  <si>
    <t>Calculation of Reinvestment Rate</t>
  </si>
  <si>
    <t>Net Capex</t>
  </si>
  <si>
    <t>Change in Working Capital</t>
  </si>
  <si>
    <t xml:space="preserve">Tax Rate </t>
  </si>
  <si>
    <t>EBIT(1 - Tax)</t>
  </si>
  <si>
    <t>Reinvestement</t>
  </si>
  <si>
    <t>Reinvestement Rate</t>
  </si>
  <si>
    <t>Calculation of Intrinsic Growth</t>
  </si>
  <si>
    <t>ROIC</t>
  </si>
  <si>
    <t>Intrinsic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</si>
</sst>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(&quot;₹&quot;#,##0.0\)"/>
    <numFmt numFmtId="167" formatCode="&quot;₹&quot;\ #,##0.00"/>
    <numFmt numFmtId="168" formatCode="0.00%;\(0.00%\);\-"/>
    <numFmt numFmtId="169" formatCode="0.00&quot;x&quot;"/>
    <numFmt numFmtId="170" formatCode="0&quot; days&quot;"/>
    <numFmt numFmtId="171" formatCode="0\ &quot;days&quot;"/>
    <numFmt numFmtId="172" formatCode="mmm/\ yyyy"/>
    <numFmt numFmtId="173" formatCode="yyyy&quot; A&quot;"/>
    <numFmt numFmtId="174" formatCode="0\ &quot; E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rgb="FF0275D8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dashed">
        <color auto="1"/>
      </top>
      <bottom style="double">
        <color auto="1"/>
      </bottom>
      <diagonal/>
    </border>
    <border>
      <left/>
      <right/>
      <top style="dotted">
        <color auto="1"/>
      </top>
      <bottom style="double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55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Border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7" fillId="4" borderId="0" xfId="0" applyFont="1" applyFill="1"/>
    <xf numFmtId="0" fontId="1" fillId="0" borderId="0" xfId="0" applyFont="1"/>
    <xf numFmtId="0" fontId="8" fillId="0" borderId="0" xfId="0" applyFont="1"/>
    <xf numFmtId="0" fontId="0" fillId="0" borderId="1" xfId="0" applyBorder="1"/>
    <xf numFmtId="0" fontId="7" fillId="4" borderId="0" xfId="0" applyFont="1" applyFill="1" applyAlignment="1">
      <alignment horizontal="right"/>
    </xf>
    <xf numFmtId="17" fontId="7" fillId="4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166" fontId="8" fillId="0" borderId="0" xfId="0" applyNumberFormat="1" applyFont="1" applyAlignment="1">
      <alignment horizontal="right"/>
    </xf>
    <xf numFmtId="10" fontId="8" fillId="0" borderId="0" xfId="4" applyNumberFormat="1" applyFont="1" applyAlignment="1">
      <alignment horizontal="right"/>
    </xf>
    <xf numFmtId="166" fontId="0" fillId="0" borderId="1" xfId="0" applyNumberFormat="1" applyBorder="1" applyAlignment="1">
      <alignment horizontal="right"/>
    </xf>
    <xf numFmtId="0" fontId="7" fillId="4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0" fontId="8" fillId="0" borderId="0" xfId="4" applyNumberFormat="1" applyFont="1" applyAlignment="1">
      <alignment horizontal="left"/>
    </xf>
    <xf numFmtId="167" fontId="0" fillId="0" borderId="0" xfId="0" applyNumberFormat="1" applyAlignment="1">
      <alignment horizontal="right"/>
    </xf>
    <xf numFmtId="10" fontId="8" fillId="0" borderId="0" xfId="4" applyNumberFormat="1" applyFont="1" applyAlignment="1"/>
    <xf numFmtId="0" fontId="0" fillId="0" borderId="0" xfId="0" applyBorder="1" applyAlignment="1">
      <alignment horizontal="right"/>
    </xf>
    <xf numFmtId="10" fontId="8" fillId="0" borderId="0" xfId="4" applyNumberFormat="1" applyFont="1" applyBorder="1" applyAlignment="1"/>
    <xf numFmtId="10" fontId="8" fillId="5" borderId="2" xfId="4" applyNumberFormat="1" applyFont="1" applyFill="1" applyBorder="1" applyAlignment="1"/>
    <xf numFmtId="0" fontId="0" fillId="5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167" fontId="0" fillId="5" borderId="1" xfId="0" applyNumberFormat="1" applyFill="1" applyBorder="1" applyAlignment="1">
      <alignment horizontal="right"/>
    </xf>
    <xf numFmtId="10" fontId="0" fillId="5" borderId="1" xfId="4" applyNumberFormat="1" applyFont="1" applyFill="1" applyBorder="1" applyAlignment="1">
      <alignment horizontal="right"/>
    </xf>
    <xf numFmtId="10" fontId="8" fillId="0" borderId="3" xfId="4" applyNumberFormat="1" applyFont="1" applyBorder="1" applyAlignment="1">
      <alignment horizontal="right"/>
    </xf>
    <xf numFmtId="10" fontId="8" fillId="0" borderId="3" xfId="4" applyNumberFormat="1" applyFont="1" applyBorder="1" applyAlignment="1"/>
    <xf numFmtId="10" fontId="9" fillId="0" borderId="3" xfId="4" applyNumberFormat="1" applyFont="1" applyBorder="1" applyAlignment="1">
      <alignment horizontal="left"/>
    </xf>
    <xf numFmtId="43" fontId="0" fillId="0" borderId="0" xfId="0" applyNumberFormat="1" applyAlignment="1">
      <alignment horizontal="left"/>
    </xf>
    <xf numFmtId="43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right"/>
    </xf>
    <xf numFmtId="43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right"/>
    </xf>
    <xf numFmtId="43" fontId="1" fillId="0" borderId="2" xfId="0" applyNumberFormat="1" applyFont="1" applyBorder="1" applyAlignment="1">
      <alignment horizontal="left"/>
    </xf>
    <xf numFmtId="0" fontId="1" fillId="0" borderId="2" xfId="0" applyFont="1" applyBorder="1"/>
    <xf numFmtId="167" fontId="1" fillId="0" borderId="2" xfId="0" applyNumberFormat="1" applyFont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4" xfId="0" applyBorder="1"/>
    <xf numFmtId="167" fontId="0" fillId="0" borderId="4" xfId="0" applyNumberFormat="1" applyBorder="1"/>
    <xf numFmtId="17" fontId="3" fillId="0" borderId="0" xfId="1" applyNumberFormat="1" applyFont="1" applyBorder="1"/>
    <xf numFmtId="17" fontId="0" fillId="0" borderId="0" xfId="1" applyNumberFormat="1" applyFont="1" applyBorder="1"/>
    <xf numFmtId="43" fontId="0" fillId="0" borderId="0" xfId="0" applyNumberFormat="1"/>
    <xf numFmtId="43" fontId="1" fillId="0" borderId="0" xfId="0" applyNumberFormat="1" applyFont="1"/>
    <xf numFmtId="43" fontId="1" fillId="0" borderId="2" xfId="0" applyNumberFormat="1" applyFont="1" applyBorder="1"/>
    <xf numFmtId="43" fontId="0" fillId="0" borderId="1" xfId="0" applyNumberFormat="1" applyBorder="1"/>
    <xf numFmtId="43" fontId="1" fillId="0" borderId="1" xfId="0" applyNumberFormat="1" applyFont="1" applyBorder="1"/>
    <xf numFmtId="167" fontId="0" fillId="0" borderId="6" xfId="0" applyNumberFormat="1" applyBorder="1" applyAlignment="1">
      <alignment horizontal="right"/>
    </xf>
    <xf numFmtId="167" fontId="0" fillId="0" borderId="0" xfId="0" applyNumberFormat="1" applyBorder="1" applyAlignment="1">
      <alignment horizontal="right"/>
    </xf>
    <xf numFmtId="167" fontId="1" fillId="0" borderId="2" xfId="0" applyNumberFormat="1" applyFont="1" applyBorder="1" applyAlignment="1">
      <alignment horizontal="left"/>
    </xf>
    <xf numFmtId="168" fontId="0" fillId="0" borderId="1" xfId="4" applyNumberFormat="1" applyFont="1" applyBorder="1" applyAlignment="1">
      <alignment horizontal="right"/>
    </xf>
    <xf numFmtId="168" fontId="0" fillId="0" borderId="1" xfId="4" applyNumberFormat="1" applyFont="1" applyBorder="1"/>
    <xf numFmtId="10" fontId="0" fillId="0" borderId="1" xfId="4" applyNumberFormat="1" applyFont="1" applyBorder="1" applyAlignment="1">
      <alignment horizontal="right"/>
    </xf>
    <xf numFmtId="10" fontId="0" fillId="0" borderId="1" xfId="4" applyNumberFormat="1" applyFont="1" applyBorder="1"/>
    <xf numFmtId="10" fontId="0" fillId="0" borderId="0" xfId="0" applyNumberFormat="1"/>
    <xf numFmtId="167" fontId="0" fillId="0" borderId="0" xfId="0" applyNumberFormat="1" applyAlignment="1">
      <alignment horizontal="left"/>
    </xf>
    <xf numFmtId="169" fontId="0" fillId="0" borderId="0" xfId="0" applyNumberFormat="1"/>
    <xf numFmtId="0" fontId="0" fillId="0" borderId="5" xfId="0" applyBorder="1"/>
    <xf numFmtId="169" fontId="0" fillId="0" borderId="1" xfId="0" applyNumberFormat="1" applyBorder="1"/>
    <xf numFmtId="170" fontId="0" fillId="0" borderId="1" xfId="0" applyNumberFormat="1" applyBorder="1"/>
    <xf numFmtId="0" fontId="0" fillId="0" borderId="0" xfId="0" applyBorder="1"/>
    <xf numFmtId="168" fontId="0" fillId="0" borderId="0" xfId="0" applyNumberFormat="1" applyBorder="1"/>
    <xf numFmtId="169" fontId="0" fillId="0" borderId="1" xfId="4" applyNumberFormat="1" applyFont="1" applyBorder="1"/>
    <xf numFmtId="171" fontId="0" fillId="0" borderId="1" xfId="4" applyNumberFormat="1" applyFont="1" applyBorder="1"/>
    <xf numFmtId="172" fontId="0" fillId="0" borderId="0" xfId="0" applyNumberFormat="1"/>
    <xf numFmtId="172" fontId="0" fillId="0" borderId="7" xfId="0" applyNumberFormat="1" applyBorder="1"/>
    <xf numFmtId="10" fontId="0" fillId="0" borderId="8" xfId="0" applyNumberFormat="1" applyBorder="1"/>
    <xf numFmtId="0" fontId="0" fillId="0" borderId="13" xfId="0" applyBorder="1"/>
    <xf numFmtId="173" fontId="0" fillId="0" borderId="13" xfId="0" applyNumberFormat="1" applyBorder="1"/>
    <xf numFmtId="167" fontId="0" fillId="0" borderId="13" xfId="0" applyNumberFormat="1" applyBorder="1" applyAlignment="1">
      <alignment horizontal="right"/>
    </xf>
    <xf numFmtId="10" fontId="0" fillId="0" borderId="13" xfId="4" applyNumberFormat="1" applyFont="1" applyBorder="1"/>
    <xf numFmtId="174" fontId="0" fillId="0" borderId="13" xfId="0" applyNumberFormat="1" applyBorder="1"/>
    <xf numFmtId="0" fontId="0" fillId="0" borderId="14" xfId="0" applyBorder="1"/>
    <xf numFmtId="173" fontId="0" fillId="0" borderId="14" xfId="0" applyNumberFormat="1" applyBorder="1"/>
    <xf numFmtId="0" fontId="1" fillId="0" borderId="15" xfId="0" applyFont="1" applyBorder="1" applyAlignment="1">
      <alignment horizontal="center"/>
    </xf>
    <xf numFmtId="172" fontId="1" fillId="0" borderId="16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0" xfId="0" applyFill="1" applyBorder="1" applyAlignment="1"/>
    <xf numFmtId="0" fontId="0" fillId="0" borderId="18" xfId="0" applyFill="1" applyBorder="1" applyAlignment="1"/>
    <xf numFmtId="0" fontId="10" fillId="0" borderId="19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Continuous"/>
    </xf>
    <xf numFmtId="0" fontId="0" fillId="0" borderId="20" xfId="0" applyBorder="1"/>
    <xf numFmtId="172" fontId="0" fillId="0" borderId="9" xfId="0" applyNumberFormat="1" applyBorder="1"/>
    <xf numFmtId="10" fontId="0" fillId="0" borderId="10" xfId="4" applyNumberFormat="1" applyFont="1" applyBorder="1"/>
    <xf numFmtId="172" fontId="11" fillId="0" borderId="11" xfId="0" applyNumberFormat="1" applyFont="1" applyBorder="1"/>
    <xf numFmtId="10" fontId="11" fillId="0" borderId="12" xfId="4" applyNumberFormat="1" applyFont="1" applyBorder="1"/>
    <xf numFmtId="167" fontId="12" fillId="0" borderId="14" xfId="0" applyNumberFormat="1" applyFont="1" applyBorder="1" applyAlignment="1">
      <alignment horizontal="right"/>
    </xf>
    <xf numFmtId="167" fontId="12" fillId="0" borderId="13" xfId="0" applyNumberFormat="1" applyFont="1" applyBorder="1" applyAlignment="1">
      <alignment horizontal="right"/>
    </xf>
    <xf numFmtId="0" fontId="0" fillId="5" borderId="13" xfId="0" applyFill="1" applyBorder="1"/>
    <xf numFmtId="174" fontId="0" fillId="5" borderId="13" xfId="0" applyNumberFormat="1" applyFill="1" applyBorder="1"/>
    <xf numFmtId="167" fontId="0" fillId="5" borderId="13" xfId="0" applyNumberFormat="1" applyFill="1" applyBorder="1" applyAlignment="1">
      <alignment horizontal="right"/>
    </xf>
    <xf numFmtId="10" fontId="0" fillId="5" borderId="13" xfId="4" applyNumberFormat="1" applyFont="1" applyFill="1" applyBorder="1"/>
    <xf numFmtId="0" fontId="1" fillId="6" borderId="0" xfId="0" applyFont="1" applyFill="1"/>
    <xf numFmtId="0" fontId="0" fillId="6" borderId="0" xfId="0" applyFill="1"/>
    <xf numFmtId="0" fontId="13" fillId="0" borderId="0" xfId="0" applyFont="1"/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horizontal="center"/>
    </xf>
    <xf numFmtId="0" fontId="15" fillId="0" borderId="0" xfId="0" applyFont="1"/>
    <xf numFmtId="10" fontId="15" fillId="0" borderId="0" xfId="4" applyNumberFormat="1" applyFont="1"/>
    <xf numFmtId="10" fontId="0" fillId="0" borderId="0" xfId="4" applyNumberFormat="1" applyFont="1"/>
    <xf numFmtId="2" fontId="0" fillId="0" borderId="0" xfId="0" applyNumberFormat="1"/>
    <xf numFmtId="0" fontId="1" fillId="0" borderId="21" xfId="0" applyFont="1" applyBorder="1"/>
    <xf numFmtId="10" fontId="0" fillId="0" borderId="21" xfId="0" applyNumberFormat="1" applyBorder="1"/>
    <xf numFmtId="2" fontId="0" fillId="0" borderId="21" xfId="0" applyNumberFormat="1" applyBorder="1"/>
    <xf numFmtId="0" fontId="1" fillId="0" borderId="22" xfId="0" applyFont="1" applyBorder="1"/>
    <xf numFmtId="10" fontId="0" fillId="0" borderId="22" xfId="0" applyNumberFormat="1" applyBorder="1"/>
    <xf numFmtId="2" fontId="0" fillId="0" borderId="22" xfId="0" applyNumberFormat="1" applyBorder="1"/>
    <xf numFmtId="0" fontId="0" fillId="0" borderId="23" xfId="0" applyBorder="1"/>
    <xf numFmtId="10" fontId="0" fillId="0" borderId="23" xfId="0" applyNumberFormat="1" applyBorder="1"/>
    <xf numFmtId="10" fontId="0" fillId="0" borderId="21" xfId="4" applyNumberFormat="1" applyFont="1" applyBorder="1"/>
    <xf numFmtId="10" fontId="0" fillId="0" borderId="23" xfId="4" applyNumberFormat="1" applyFont="1" applyBorder="1"/>
    <xf numFmtId="2" fontId="0" fillId="0" borderId="23" xfId="0" applyNumberFormat="1" applyBorder="1"/>
    <xf numFmtId="10" fontId="1" fillId="0" borderId="0" xfId="0" applyNumberFormat="1" applyFont="1"/>
    <xf numFmtId="10" fontId="0" fillId="0" borderId="0" xfId="4" applyNumberFormat="1" applyFont="1" applyBorder="1"/>
    <xf numFmtId="0" fontId="1" fillId="7" borderId="0" xfId="0" applyFont="1" applyFill="1"/>
    <xf numFmtId="10" fontId="1" fillId="7" borderId="0" xfId="4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10" fontId="0" fillId="0" borderId="0" xfId="4" applyNumberFormat="1" applyFont="1" applyFill="1" applyBorder="1" applyAlignment="1">
      <alignment horizontal="right"/>
    </xf>
    <xf numFmtId="0" fontId="1" fillId="0" borderId="13" xfId="0" applyFont="1" applyBorder="1"/>
    <xf numFmtId="2" fontId="0" fillId="0" borderId="13" xfId="0" applyNumberFormat="1" applyBorder="1"/>
    <xf numFmtId="2" fontId="0" fillId="0" borderId="1" xfId="0" applyNumberFormat="1" applyBorder="1"/>
    <xf numFmtId="2" fontId="1" fillId="0" borderId="2" xfId="0" applyNumberFormat="1" applyFont="1" applyBorder="1"/>
    <xf numFmtId="0" fontId="17" fillId="0" borderId="0" xfId="0" applyFont="1"/>
    <xf numFmtId="2" fontId="17" fillId="0" borderId="0" xfId="0" applyNumberFormat="1" applyFont="1"/>
    <xf numFmtId="10" fontId="3" fillId="0" borderId="0" xfId="4" applyNumberFormat="1" applyFont="1"/>
    <xf numFmtId="0" fontId="1" fillId="9" borderId="0" xfId="0" applyFont="1" applyFill="1" applyAlignment="1">
      <alignment horizontal="center"/>
    </xf>
    <xf numFmtId="10" fontId="17" fillId="0" borderId="1" xfId="0" applyNumberFormat="1" applyFont="1" applyBorder="1"/>
    <xf numFmtId="10" fontId="1" fillId="0" borderId="2" xfId="0" applyNumberFormat="1" applyFont="1" applyBorder="1"/>
    <xf numFmtId="0" fontId="7" fillId="4" borderId="0" xfId="0" applyFont="1" applyFill="1" applyAlignment="1">
      <alignment horizontal="center"/>
    </xf>
    <xf numFmtId="167" fontId="1" fillId="8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43" fontId="0" fillId="0" borderId="0" xfId="0" applyNumberFormat="1" applyFont="1"/>
    <xf numFmtId="43" fontId="1" fillId="0" borderId="24" xfId="0" applyNumberFormat="1" applyFont="1" applyBorder="1"/>
    <xf numFmtId="43" fontId="1" fillId="0" borderId="25" xfId="0" applyNumberFormat="1" applyFont="1" applyBorder="1"/>
    <xf numFmtId="10" fontId="1" fillId="0" borderId="0" xfId="4" applyNumberFormat="1" applyFont="1"/>
    <xf numFmtId="10" fontId="1" fillId="0" borderId="2" xfId="4" applyNumberFormat="1" applyFont="1" applyBorder="1"/>
    <xf numFmtId="10" fontId="17" fillId="0" borderId="0" xfId="0" applyNumberFormat="1" applyFont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8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1082040</xdr:colOff>
      <xdr:row>4</xdr:row>
      <xdr:rowOff>177164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D97581-47C2-04FF-7278-DBDA41105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1580" cy="9086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0</xdr:rowOff>
    </xdr:from>
    <xdr:to>
      <xdr:col>1</xdr:col>
      <xdr:colOff>1135380</xdr:colOff>
      <xdr:row>4</xdr:row>
      <xdr:rowOff>177164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8BA54-8CD3-42D2-A466-2838A7C5D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0"/>
          <a:ext cx="1211580" cy="9086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22860</xdr:rowOff>
    </xdr:from>
    <xdr:to>
      <xdr:col>1</xdr:col>
      <xdr:colOff>906780</xdr:colOff>
      <xdr:row>4</xdr:row>
      <xdr:rowOff>5714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EB59F-80E1-4917-8801-83BEE91BE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2860"/>
          <a:ext cx="952500" cy="7143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22860</xdr:rowOff>
    </xdr:from>
    <xdr:to>
      <xdr:col>1</xdr:col>
      <xdr:colOff>1188720</xdr:colOff>
      <xdr:row>5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2A0821-4FD9-42F4-9F61-BFEEF3C64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860"/>
          <a:ext cx="1287780" cy="9906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F54EB32-55DB-44A2-86CF-77F7AFB48B10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Price" tableColumnId="2"/>
      <queryTableField id="3" name="Change %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2E663B0D-078A-4451-84C7-5938BE8EBE3F}" autoFormatId="16" applyNumberFormats="0" applyBorderFormats="0" applyFontFormats="0" applyPatternFormats="0" applyAlignmentFormats="0" applyWidthHeightFormats="0">
  <queryTableRefresh nextId="4">
    <queryTableFields count="2">
      <queryTableField id="2" name="Price" tableColumnId="2"/>
      <queryTableField id="3" name="Change %" tableColumnId="3"/>
    </queryTableFields>
    <queryTableDeletedFields count="1">
      <deletedField name="D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9A4773-798E-4AA7-841A-92608924ACF0}" name="BergerPaints_Stock" displayName="BergerPaints_Stock" ref="B5:D110" tableType="queryTable" totalsRowShown="0" headerRowDxfId="7" dataDxfId="6">
  <sortState xmlns:xlrd2="http://schemas.microsoft.com/office/spreadsheetml/2017/richdata2" ref="B6:D110">
    <sortCondition ref="B5:B110"/>
  </sortState>
  <tableColumns count="3">
    <tableColumn id="1" xr3:uid="{E7C9746E-1D4C-48A7-B987-D86A3B899E80}" uniqueName="1" name="Date" queryTableFieldId="1" dataDxfId="5"/>
    <tableColumn id="2" xr3:uid="{5A36AF1C-D573-4923-8B44-8EE56D273406}" uniqueName="2" name="Price" queryTableFieldId="2" dataDxfId="4"/>
    <tableColumn id="3" xr3:uid="{816526B1-7356-414C-B13A-EA491E68BF55}" uniqueName="3" name="Change %" queryTableFieldId="3" dataDxfId="3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F33BCB-EBE8-416B-939C-1C6FFAB52759}" name="Nifty_Stocks" displayName="Nifty_Stocks" ref="F5:G110" tableType="queryTable" totalsRowShown="0">
  <tableColumns count="2">
    <tableColumn id="2" xr3:uid="{E084E7D3-D053-4CB0-A156-A9F920C20125}" uniqueName="2" name="Price" queryTableFieldId="2" dataDxfId="2"/>
    <tableColumn id="3" xr3:uid="{22C83AF3-4D03-4E9C-B65D-76918110F42F}" uniqueName="3" name="Change %" queryTableFieldId="3" dataDxfId="1" dataCellStyle="Percent"/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185E-2559-489F-8FC1-AABD7D2E5D4D}">
  <sheetPr>
    <pageSetUpPr fitToPage="1"/>
  </sheetPr>
  <dimension ref="B6:N49"/>
  <sheetViews>
    <sheetView showGridLines="0" workbookViewId="0">
      <pane ySplit="8" topLeftCell="A12" activePane="bottomLeft" state="frozen"/>
      <selection pane="bottomLeft" activeCell="D31" sqref="D31"/>
    </sheetView>
  </sheetViews>
  <sheetFormatPr defaultRowHeight="14.4" x14ac:dyDescent="0.3"/>
  <cols>
    <col min="1" max="1" width="1.88671875" customWidth="1"/>
    <col min="2" max="2" width="22.5546875" style="21" bestFit="1" customWidth="1"/>
    <col min="3" max="3" width="12.77734375" customWidth="1"/>
    <col min="4" max="13" width="13.6640625" style="14" bestFit="1" customWidth="1"/>
    <col min="14" max="14" width="9.44140625" style="14" bestFit="1" customWidth="1"/>
  </cols>
  <sheetData>
    <row r="6" spans="2:14" x14ac:dyDescent="0.3">
      <c r="B6" s="142" t="str">
        <f>"Historical Data of " &amp;'Data Sheet'!B1</f>
        <v>Historical Data of BERGER PAINTS INDIA LTD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2"/>
    </row>
    <row r="7" spans="2:14" x14ac:dyDescent="0.3">
      <c r="B7" s="19" t="s">
        <v>54</v>
      </c>
      <c r="C7" s="8"/>
      <c r="D7" s="13">
        <f>'Data Sheet'!B16</f>
        <v>42460</v>
      </c>
      <c r="E7" s="13">
        <f>'Data Sheet'!C16</f>
        <v>42825</v>
      </c>
      <c r="F7" s="13">
        <f>'Data Sheet'!D16</f>
        <v>43190</v>
      </c>
      <c r="G7" s="13">
        <f>'Data Sheet'!E16</f>
        <v>43555</v>
      </c>
      <c r="H7" s="13">
        <f>'Data Sheet'!F16</f>
        <v>43921</v>
      </c>
      <c r="I7" s="13">
        <f>'Data Sheet'!G16</f>
        <v>44286</v>
      </c>
      <c r="J7" s="13">
        <f>'Data Sheet'!H16</f>
        <v>44651</v>
      </c>
      <c r="K7" s="13">
        <f>'Data Sheet'!I16</f>
        <v>45016</v>
      </c>
      <c r="L7" s="13">
        <f>'Data Sheet'!J16</f>
        <v>45382</v>
      </c>
      <c r="M7" s="13">
        <f>'Data Sheet'!K16</f>
        <v>45747</v>
      </c>
      <c r="N7" s="12" t="s">
        <v>56</v>
      </c>
    </row>
    <row r="8" spans="2:14" x14ac:dyDescent="0.3">
      <c r="B8" s="20" t="s">
        <v>55</v>
      </c>
    </row>
    <row r="10" spans="2:14" x14ac:dyDescent="0.3">
      <c r="B10" s="21" t="s">
        <v>1</v>
      </c>
      <c r="D10" s="15">
        <f>'Data Sheet'!B17</f>
        <v>4223.1000000000004</v>
      </c>
      <c r="E10" s="15">
        <f>'Data Sheet'!C17</f>
        <v>4552.25</v>
      </c>
      <c r="F10" s="15">
        <f>'Data Sheet'!D17</f>
        <v>5165.7299999999996</v>
      </c>
      <c r="G10" s="15">
        <f>'Data Sheet'!E17</f>
        <v>6061.86</v>
      </c>
      <c r="H10" s="15">
        <f>'Data Sheet'!F17</f>
        <v>6365.82</v>
      </c>
      <c r="I10" s="15">
        <f>'Data Sheet'!G17</f>
        <v>6817.59</v>
      </c>
      <c r="J10" s="15">
        <f>'Data Sheet'!H17</f>
        <v>8761.7800000000007</v>
      </c>
      <c r="K10" s="15">
        <f>'Data Sheet'!I17</f>
        <v>10567.84</v>
      </c>
      <c r="L10" s="15">
        <f>'Data Sheet'!J17</f>
        <v>11198.92</v>
      </c>
      <c r="M10" s="15">
        <f>'Data Sheet'!K17</f>
        <v>11544.71</v>
      </c>
      <c r="N10" s="15">
        <f>IFERROR(SUM('Data Sheet'!H42:K42), "-")</f>
        <v>11654.460000000001</v>
      </c>
    </row>
    <row r="11" spans="2:14" x14ac:dyDescent="0.3">
      <c r="B11" s="22" t="s">
        <v>58</v>
      </c>
      <c r="C11" s="10"/>
      <c r="D11" s="16"/>
      <c r="E11" s="17">
        <f>E10/D10-1</f>
        <v>7.7940375553503305E-2</v>
      </c>
      <c r="F11" s="17">
        <f t="shared" ref="F11:N11" si="0">F10/E10-1</f>
        <v>0.13476412762919421</v>
      </c>
      <c r="G11" s="17">
        <f t="shared" si="0"/>
        <v>0.17347596564280376</v>
      </c>
      <c r="H11" s="17">
        <f t="shared" si="0"/>
        <v>5.0143025408043052E-2</v>
      </c>
      <c r="I11" s="17">
        <f t="shared" si="0"/>
        <v>7.0968076382932566E-2</v>
      </c>
      <c r="J11" s="17">
        <f t="shared" si="0"/>
        <v>0.28517261965005236</v>
      </c>
      <c r="K11" s="17">
        <f t="shared" si="0"/>
        <v>0.2061293481461528</v>
      </c>
      <c r="L11" s="17">
        <f t="shared" si="0"/>
        <v>5.9717028266892846E-2</v>
      </c>
      <c r="M11" s="17">
        <f t="shared" si="0"/>
        <v>3.0877084576012681E-2</v>
      </c>
      <c r="N11" s="17">
        <f t="shared" si="0"/>
        <v>9.5065185699771959E-3</v>
      </c>
    </row>
    <row r="12" spans="2:14" x14ac:dyDescent="0.3">
      <c r="B12" s="23"/>
      <c r="C12" s="11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2:14" x14ac:dyDescent="0.3">
      <c r="B13" s="21" t="s">
        <v>57</v>
      </c>
      <c r="D13" s="15">
        <f>SUM('Data Sheet'!B18,'Data Sheet'!B20,'Data Sheet'!B21) - 1 *'Data Sheet'!B19</f>
        <v>2851.32</v>
      </c>
      <c r="E13" s="15">
        <f>SUM('Data Sheet'!C18,'Data Sheet'!C20,'Data Sheet'!C21) - 1 *'Data Sheet'!C19</f>
        <v>3009.7599999999998</v>
      </c>
      <c r="F13" s="15">
        <f>SUM('Data Sheet'!D18,'Data Sheet'!D20,'Data Sheet'!D21) - 1 *'Data Sheet'!D19</f>
        <v>3443.09</v>
      </c>
      <c r="G13" s="15">
        <f>SUM('Data Sheet'!E18,'Data Sheet'!E20,'Data Sheet'!E21) - 1 *'Data Sheet'!E19</f>
        <v>4208.1000000000004</v>
      </c>
      <c r="H13" s="15">
        <f>SUM('Data Sheet'!F18,'Data Sheet'!F20,'Data Sheet'!F21) - 1 *'Data Sheet'!F19</f>
        <v>4330.45</v>
      </c>
      <c r="I13" s="15">
        <f>SUM('Data Sheet'!G18,'Data Sheet'!G20,'Data Sheet'!G21) - 1 *'Data Sheet'!G19</f>
        <v>4538.84</v>
      </c>
      <c r="J13" s="15">
        <f>SUM('Data Sheet'!H18,'Data Sheet'!H20,'Data Sheet'!H21) - 1 *'Data Sheet'!H19</f>
        <v>6272.0000000000009</v>
      </c>
      <c r="K13" s="15">
        <f>SUM('Data Sheet'!I18,'Data Sheet'!I20,'Data Sheet'!I21) - 1 *'Data Sheet'!I19</f>
        <v>7716.1100000000006</v>
      </c>
      <c r="L13" s="15">
        <f>SUM('Data Sheet'!J18,'Data Sheet'!J20,'Data Sheet'!J21) - 1 *'Data Sheet'!J19</f>
        <v>7682.88</v>
      </c>
      <c r="M13" s="15">
        <f>SUM('Data Sheet'!K18,'Data Sheet'!K20,'Data Sheet'!K21) - 1 *'Data Sheet'!K19</f>
        <v>7756.5</v>
      </c>
      <c r="N13" s="15">
        <f>IFERROR(SUM('Data Sheet'!H43:K43), "-")</f>
        <v>9792.3700000000008</v>
      </c>
    </row>
    <row r="14" spans="2:14" x14ac:dyDescent="0.3">
      <c r="B14" s="24" t="s">
        <v>59</v>
      </c>
      <c r="C14" s="17"/>
      <c r="D14" s="17">
        <f>D13/D10</f>
        <v>0.67517226681821407</v>
      </c>
      <c r="E14" s="17">
        <f t="shared" ref="E14:N14" si="1">E13/E10</f>
        <v>0.66115876764237458</v>
      </c>
      <c r="F14" s="17">
        <f t="shared" si="1"/>
        <v>0.6665253507248734</v>
      </c>
      <c r="G14" s="17">
        <f t="shared" si="1"/>
        <v>0.69419287149488784</v>
      </c>
      <c r="H14" s="17">
        <f t="shared" si="1"/>
        <v>0.68026585734437983</v>
      </c>
      <c r="I14" s="17">
        <f t="shared" si="1"/>
        <v>0.66575432080837949</v>
      </c>
      <c r="J14" s="17">
        <f t="shared" si="1"/>
        <v>0.71583627984268039</v>
      </c>
      <c r="K14" s="17">
        <f t="shared" si="1"/>
        <v>0.73015015367378766</v>
      </c>
      <c r="L14" s="17">
        <f t="shared" si="1"/>
        <v>0.68603758219542599</v>
      </c>
      <c r="M14" s="17">
        <f t="shared" si="1"/>
        <v>0.67186616207769623</v>
      </c>
      <c r="N14" s="17">
        <f t="shared" si="1"/>
        <v>0.84022511553516854</v>
      </c>
    </row>
    <row r="15" spans="2:14" x14ac:dyDescent="0.3">
      <c r="B15" s="23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2:14" x14ac:dyDescent="0.3">
      <c r="B16" s="21" t="s">
        <v>60</v>
      </c>
      <c r="D16" s="25">
        <f>D10-D13</f>
        <v>1371.7800000000002</v>
      </c>
      <c r="E16" s="25">
        <f t="shared" ref="E16:N16" si="2">E10-E13</f>
        <v>1542.4900000000002</v>
      </c>
      <c r="F16" s="25">
        <f t="shared" si="2"/>
        <v>1722.6399999999994</v>
      </c>
      <c r="G16" s="25">
        <f t="shared" si="2"/>
        <v>1853.7599999999993</v>
      </c>
      <c r="H16" s="25">
        <f t="shared" si="2"/>
        <v>2035.37</v>
      </c>
      <c r="I16" s="25">
        <f t="shared" si="2"/>
        <v>2278.75</v>
      </c>
      <c r="J16" s="25">
        <f t="shared" si="2"/>
        <v>2489.7799999999997</v>
      </c>
      <c r="K16" s="25">
        <f t="shared" si="2"/>
        <v>2851.7299999999996</v>
      </c>
      <c r="L16" s="25">
        <f t="shared" si="2"/>
        <v>3516.04</v>
      </c>
      <c r="M16" s="25">
        <f t="shared" si="2"/>
        <v>3788.2099999999991</v>
      </c>
      <c r="N16" s="25">
        <f t="shared" si="2"/>
        <v>1862.0900000000001</v>
      </c>
    </row>
    <row r="17" spans="2:14" x14ac:dyDescent="0.3">
      <c r="B17" s="24" t="s">
        <v>61</v>
      </c>
      <c r="C17" s="17"/>
      <c r="D17" s="17">
        <f>D16/D10</f>
        <v>0.32482773318178593</v>
      </c>
      <c r="E17" s="17">
        <f t="shared" ref="E17:N17" si="3">E16/E10</f>
        <v>0.33884123235762542</v>
      </c>
      <c r="F17" s="17">
        <f t="shared" si="3"/>
        <v>0.33347464927512654</v>
      </c>
      <c r="G17" s="17">
        <f t="shared" si="3"/>
        <v>0.30580712850511221</v>
      </c>
      <c r="H17" s="17">
        <f t="shared" si="3"/>
        <v>0.31973414265562017</v>
      </c>
      <c r="I17" s="17">
        <f t="shared" si="3"/>
        <v>0.33424567919162051</v>
      </c>
      <c r="J17" s="17">
        <f t="shared" si="3"/>
        <v>0.28416372015731955</v>
      </c>
      <c r="K17" s="17">
        <f t="shared" si="3"/>
        <v>0.26984984632621234</v>
      </c>
      <c r="L17" s="17">
        <f t="shared" si="3"/>
        <v>0.31396241780457401</v>
      </c>
      <c r="M17" s="17">
        <f t="shared" si="3"/>
        <v>0.32813383792230377</v>
      </c>
      <c r="N17" s="17">
        <f t="shared" si="3"/>
        <v>0.15977488446483148</v>
      </c>
    </row>
    <row r="18" spans="2:14" x14ac:dyDescent="0.3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2:14" x14ac:dyDescent="0.3">
      <c r="B19" s="21" t="s">
        <v>62</v>
      </c>
      <c r="D19" s="25">
        <f>SUM('Data Sheet'!B23:B24)</f>
        <v>453.08000000000004</v>
      </c>
      <c r="E19" s="25">
        <f>SUM('Data Sheet'!C23:C24)</f>
        <v>516.41999999999996</v>
      </c>
      <c r="F19" s="25">
        <f>SUM('Data Sheet'!D23:D24)</f>
        <v>558.59</v>
      </c>
      <c r="G19" s="25">
        <f>SUM('Data Sheet'!E23:E24)</f>
        <v>510.15999999999997</v>
      </c>
      <c r="H19" s="25">
        <f>SUM('Data Sheet'!F23:F24)</f>
        <v>529.57000000000005</v>
      </c>
      <c r="I19" s="25">
        <f>SUM('Data Sheet'!G23:G24)</f>
        <v>610.67000000000007</v>
      </c>
      <c r="J19" s="25">
        <f>SUM('Data Sheet'!H23:H24)</f>
        <v>615.02</v>
      </c>
      <c r="K19" s="25">
        <f>SUM('Data Sheet'!I23:I24)</f>
        <v>764.18000000000006</v>
      </c>
      <c r="L19" s="25">
        <f>SUM('Data Sheet'!J23:J24)</f>
        <v>941.05000000000007</v>
      </c>
      <c r="M19" s="25">
        <f>SUM('Data Sheet'!K23:K24)</f>
        <v>1114.75</v>
      </c>
      <c r="N19" s="25"/>
    </row>
    <row r="20" spans="2:14" x14ac:dyDescent="0.3">
      <c r="B20" s="24" t="s">
        <v>63</v>
      </c>
      <c r="C20" s="17"/>
      <c r="D20" s="26">
        <f>D19/D10</f>
        <v>0.10728611683360564</v>
      </c>
      <c r="E20" s="26">
        <f t="shared" ref="E20:N20" si="4">E19/E10</f>
        <v>0.11344280300950078</v>
      </c>
      <c r="F20" s="26">
        <f t="shared" si="4"/>
        <v>0.108133797159356</v>
      </c>
      <c r="G20" s="26">
        <f t="shared" si="4"/>
        <v>8.4158987505485117E-2</v>
      </c>
      <c r="H20" s="26">
        <f t="shared" si="4"/>
        <v>8.3189596941163915E-2</v>
      </c>
      <c r="I20" s="26">
        <f t="shared" si="4"/>
        <v>8.9572708244408952E-2</v>
      </c>
      <c r="J20" s="26">
        <f t="shared" si="4"/>
        <v>7.0193499494394962E-2</v>
      </c>
      <c r="K20" s="26">
        <f t="shared" si="4"/>
        <v>7.2311844236854467E-2</v>
      </c>
      <c r="L20" s="26">
        <f t="shared" si="4"/>
        <v>8.4030424362349226E-2</v>
      </c>
      <c r="M20" s="26">
        <f t="shared" si="4"/>
        <v>9.6559376545621342E-2</v>
      </c>
      <c r="N20" s="26">
        <f t="shared" si="4"/>
        <v>0</v>
      </c>
    </row>
    <row r="21" spans="2:14" x14ac:dyDescent="0.3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 spans="2:14" x14ac:dyDescent="0.3">
      <c r="B22" s="21" t="s">
        <v>64</v>
      </c>
      <c r="D22" s="25">
        <f>D16-D19</f>
        <v>918.70000000000016</v>
      </c>
      <c r="E22" s="25">
        <f t="shared" ref="E22:N22" si="5">E16-E19</f>
        <v>1026.0700000000002</v>
      </c>
      <c r="F22" s="25">
        <f t="shared" si="5"/>
        <v>1164.0499999999993</v>
      </c>
      <c r="G22" s="25">
        <f t="shared" si="5"/>
        <v>1343.5999999999995</v>
      </c>
      <c r="H22" s="25">
        <f t="shared" si="5"/>
        <v>1505.7999999999997</v>
      </c>
      <c r="I22" s="25">
        <f t="shared" si="5"/>
        <v>1668.08</v>
      </c>
      <c r="J22" s="25">
        <f t="shared" si="5"/>
        <v>1874.7599999999998</v>
      </c>
      <c r="K22" s="25">
        <f t="shared" si="5"/>
        <v>2087.5499999999993</v>
      </c>
      <c r="L22" s="25">
        <f t="shared" si="5"/>
        <v>2574.9899999999998</v>
      </c>
      <c r="M22" s="25">
        <f t="shared" si="5"/>
        <v>2673.4599999999991</v>
      </c>
      <c r="N22" s="25">
        <f t="shared" si="5"/>
        <v>1862.0900000000001</v>
      </c>
    </row>
    <row r="23" spans="2:14" x14ac:dyDescent="0.3">
      <c r="B23" s="24" t="s">
        <v>65</v>
      </c>
      <c r="C23" s="17"/>
      <c r="D23" s="26">
        <f>D22/D10</f>
        <v>0.21754161634818026</v>
      </c>
      <c r="E23" s="26">
        <f>E22/E10</f>
        <v>0.2253984293481246</v>
      </c>
      <c r="F23" s="26">
        <f t="shared" ref="F23:N23" si="6">F22/F10</f>
        <v>0.22534085211577054</v>
      </c>
      <c r="G23" s="26">
        <f t="shared" si="6"/>
        <v>0.2216481409996271</v>
      </c>
      <c r="H23" s="26">
        <f t="shared" si="6"/>
        <v>0.23654454571445624</v>
      </c>
      <c r="I23" s="26">
        <f t="shared" si="6"/>
        <v>0.24467297094721155</v>
      </c>
      <c r="J23" s="26">
        <f t="shared" si="6"/>
        <v>0.21397022066292462</v>
      </c>
      <c r="K23" s="26">
        <f t="shared" si="6"/>
        <v>0.19753800208935782</v>
      </c>
      <c r="L23" s="26">
        <f t="shared" si="6"/>
        <v>0.22993199344222476</v>
      </c>
      <c r="M23" s="26">
        <f t="shared" si="6"/>
        <v>0.23157446137668242</v>
      </c>
      <c r="N23" s="26">
        <f t="shared" si="6"/>
        <v>0.15977488446483148</v>
      </c>
    </row>
    <row r="24" spans="2:14" x14ac:dyDescent="0.3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2:14" x14ac:dyDescent="0.3">
      <c r="B25" s="21" t="s">
        <v>5</v>
      </c>
      <c r="D25" s="25">
        <f>'Data Sheet'!B26</f>
        <v>98.65</v>
      </c>
      <c r="E25" s="25">
        <f>'Data Sheet'!C26</f>
        <v>108.05</v>
      </c>
      <c r="F25" s="25">
        <f>'Data Sheet'!D26</f>
        <v>124.21</v>
      </c>
      <c r="G25" s="25">
        <f>'Data Sheet'!E26</f>
        <v>182.27</v>
      </c>
      <c r="H25" s="25">
        <f>'Data Sheet'!F26</f>
        <v>191.01</v>
      </c>
      <c r="I25" s="25">
        <f>'Data Sheet'!G26</f>
        <v>211.14</v>
      </c>
      <c r="J25" s="25">
        <f>'Data Sheet'!H26</f>
        <v>226.51</v>
      </c>
      <c r="K25" s="25">
        <f>'Data Sheet'!I26</f>
        <v>264.02999999999997</v>
      </c>
      <c r="L25" s="25">
        <f>'Data Sheet'!J26</f>
        <v>330.88</v>
      </c>
      <c r="M25" s="25">
        <f>'Data Sheet'!K26</f>
        <v>354.19</v>
      </c>
      <c r="N25" s="25">
        <f>SUM('Data Sheet'!H45:K45)</f>
        <v>360.96000000000004</v>
      </c>
    </row>
    <row r="26" spans="2:14" x14ac:dyDescent="0.3">
      <c r="B26" s="24" t="s">
        <v>5</v>
      </c>
      <c r="C26" s="17"/>
      <c r="D26" s="17">
        <f>D25/D10</f>
        <v>2.3359617342710332E-2</v>
      </c>
      <c r="E26" s="17">
        <f t="shared" ref="E26:N26" si="7">E25/E10</f>
        <v>2.3735515404470317E-2</v>
      </c>
      <c r="F26" s="17">
        <f t="shared" si="7"/>
        <v>2.4045004287874126E-2</v>
      </c>
      <c r="G26" s="17">
        <f>G25/G10</f>
        <v>3.0068328862758297E-2</v>
      </c>
      <c r="H26" s="17">
        <f t="shared" si="7"/>
        <v>3.0005560948942949E-2</v>
      </c>
      <c r="I26" s="17">
        <f t="shared" si="7"/>
        <v>3.0969888186294568E-2</v>
      </c>
      <c r="J26" s="17">
        <f t="shared" si="7"/>
        <v>2.5852052893361847E-2</v>
      </c>
      <c r="K26" s="17">
        <f t="shared" si="7"/>
        <v>2.4984291965056242E-2</v>
      </c>
      <c r="L26" s="17">
        <f t="shared" si="7"/>
        <v>2.9545706193097192E-2</v>
      </c>
      <c r="M26" s="17">
        <f t="shared" si="7"/>
        <v>3.0679852503874071E-2</v>
      </c>
      <c r="N26" s="17">
        <f t="shared" si="7"/>
        <v>3.0971833958844942E-2</v>
      </c>
    </row>
    <row r="27" spans="2:14" x14ac:dyDescent="0.3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2:14" x14ac:dyDescent="0.3">
      <c r="B28" s="21" t="s">
        <v>66</v>
      </c>
      <c r="D28" s="25">
        <f>D22-D25</f>
        <v>820.05000000000018</v>
      </c>
      <c r="E28" s="25">
        <f t="shared" ref="E28:N28" si="8">E22-E25</f>
        <v>918.02000000000021</v>
      </c>
      <c r="F28" s="25">
        <f t="shared" si="8"/>
        <v>1039.8399999999992</v>
      </c>
      <c r="G28" s="25">
        <f>G22-G25</f>
        <v>1161.3299999999995</v>
      </c>
      <c r="H28" s="25">
        <f t="shared" si="8"/>
        <v>1314.7899999999997</v>
      </c>
      <c r="I28" s="25">
        <f t="shared" si="8"/>
        <v>1456.94</v>
      </c>
      <c r="J28" s="25">
        <f t="shared" si="8"/>
        <v>1648.2499999999998</v>
      </c>
      <c r="K28" s="25">
        <f t="shared" si="8"/>
        <v>1823.5199999999993</v>
      </c>
      <c r="L28" s="25">
        <f t="shared" si="8"/>
        <v>2244.1099999999997</v>
      </c>
      <c r="M28" s="25">
        <f t="shared" si="8"/>
        <v>2319.2699999999991</v>
      </c>
      <c r="N28" s="25">
        <f t="shared" si="8"/>
        <v>1501.13</v>
      </c>
    </row>
    <row r="29" spans="2:14" x14ac:dyDescent="0.3">
      <c r="B29" s="24" t="s">
        <v>67</v>
      </c>
      <c r="C29" s="17"/>
      <c r="D29" s="26">
        <f>D28/D10</f>
        <v>0.19418199900546995</v>
      </c>
      <c r="E29" s="26">
        <f t="shared" ref="E29:N29" si="9">E28/E10</f>
        <v>0.20166291394365429</v>
      </c>
      <c r="F29" s="26">
        <f t="shared" si="9"/>
        <v>0.20129584782789642</v>
      </c>
      <c r="G29" s="26">
        <f t="shared" si="9"/>
        <v>0.19157981213686881</v>
      </c>
      <c r="H29" s="26">
        <f t="shared" si="9"/>
        <v>0.2065389847655133</v>
      </c>
      <c r="I29" s="26">
        <f t="shared" si="9"/>
        <v>0.21370308276091698</v>
      </c>
      <c r="J29" s="26">
        <f t="shared" si="9"/>
        <v>0.18811816776956278</v>
      </c>
      <c r="K29" s="26">
        <f t="shared" si="9"/>
        <v>0.1725537101243016</v>
      </c>
      <c r="L29" s="26">
        <f t="shared" si="9"/>
        <v>0.20038628724912758</v>
      </c>
      <c r="M29" s="26">
        <f t="shared" si="9"/>
        <v>0.20089460887280836</v>
      </c>
      <c r="N29" s="26">
        <f t="shared" si="9"/>
        <v>0.12880305050598656</v>
      </c>
    </row>
    <row r="30" spans="2:14" x14ac:dyDescent="0.3">
      <c r="B30" s="24"/>
      <c r="C30" s="1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spans="2:14" x14ac:dyDescent="0.3">
      <c r="B31" s="21" t="s">
        <v>6</v>
      </c>
      <c r="C31" s="17"/>
      <c r="D31" s="25">
        <f>'Data Sheet'!B27</f>
        <v>27.28</v>
      </c>
      <c r="E31" s="25">
        <f>'Data Sheet'!C27</f>
        <v>16.22</v>
      </c>
      <c r="F31" s="25">
        <f>'Data Sheet'!D27</f>
        <v>24.55</v>
      </c>
      <c r="G31" s="25">
        <f>'Data Sheet'!E27</f>
        <v>47.24</v>
      </c>
      <c r="H31" s="25">
        <f>'Data Sheet'!F27</f>
        <v>47.04</v>
      </c>
      <c r="I31" s="25">
        <f>'Data Sheet'!G27</f>
        <v>44.1</v>
      </c>
      <c r="J31" s="25">
        <f>'Data Sheet'!H27</f>
        <v>50.72</v>
      </c>
      <c r="K31" s="25">
        <f>'Data Sheet'!I27</f>
        <v>99.23</v>
      </c>
      <c r="L31" s="25">
        <f>'Data Sheet'!J27</f>
        <v>78.25</v>
      </c>
      <c r="M31" s="25">
        <f>'Data Sheet'!K27</f>
        <v>63.27</v>
      </c>
      <c r="N31" s="25">
        <f>SUM('Data Sheet'!H46:K46)</f>
        <v>62.58</v>
      </c>
    </row>
    <row r="32" spans="2:14" x14ac:dyDescent="0.3">
      <c r="B32" s="26" t="s">
        <v>123</v>
      </c>
      <c r="C32" s="26"/>
      <c r="D32" s="26">
        <f>D31/D10</f>
        <v>6.4597096919324663E-3</v>
      </c>
      <c r="E32" s="26">
        <f t="shared" ref="E32:N32" si="10">E31/E10</f>
        <v>3.563073205557691E-3</v>
      </c>
      <c r="F32" s="26">
        <f t="shared" si="10"/>
        <v>4.7524744808574975E-3</v>
      </c>
      <c r="G32" s="26">
        <f t="shared" si="10"/>
        <v>7.792987630859176E-3</v>
      </c>
      <c r="H32" s="26">
        <f t="shared" si="10"/>
        <v>7.3894643580874105E-3</v>
      </c>
      <c r="I32" s="26">
        <f t="shared" si="10"/>
        <v>6.468561471135695E-3</v>
      </c>
      <c r="J32" s="26">
        <f t="shared" si="10"/>
        <v>5.788778079340042E-3</v>
      </c>
      <c r="K32" s="26">
        <f t="shared" si="10"/>
        <v>9.3898090811367317E-3</v>
      </c>
      <c r="L32" s="26">
        <f t="shared" si="10"/>
        <v>6.9872809163740793E-3</v>
      </c>
      <c r="M32" s="26">
        <f t="shared" si="10"/>
        <v>5.4804321633025004E-3</v>
      </c>
      <c r="N32" s="26">
        <f t="shared" si="10"/>
        <v>5.3696181547665004E-3</v>
      </c>
    </row>
    <row r="33" spans="2:14" x14ac:dyDescent="0.3"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spans="2:14" x14ac:dyDescent="0.3">
      <c r="B34" s="64" t="s">
        <v>124</v>
      </c>
      <c r="C34" s="25"/>
      <c r="D34" s="25">
        <f>D28-D31</f>
        <v>792.77000000000021</v>
      </c>
      <c r="E34" s="25">
        <f t="shared" ref="E34:N34" si="11">E28-E31</f>
        <v>901.80000000000018</v>
      </c>
      <c r="F34" s="25">
        <f t="shared" si="11"/>
        <v>1015.2899999999993</v>
      </c>
      <c r="G34" s="25">
        <f t="shared" si="11"/>
        <v>1114.0899999999995</v>
      </c>
      <c r="H34" s="25">
        <f t="shared" si="11"/>
        <v>1267.7499999999998</v>
      </c>
      <c r="I34" s="25">
        <f t="shared" si="11"/>
        <v>1412.8400000000001</v>
      </c>
      <c r="J34" s="25">
        <f t="shared" si="11"/>
        <v>1597.5299999999997</v>
      </c>
      <c r="K34" s="25">
        <f t="shared" si="11"/>
        <v>1724.2899999999993</v>
      </c>
      <c r="L34" s="25">
        <f t="shared" si="11"/>
        <v>2165.8599999999997</v>
      </c>
      <c r="M34" s="25">
        <f t="shared" si="11"/>
        <v>2255.9999999999991</v>
      </c>
      <c r="N34" s="25">
        <f t="shared" si="11"/>
        <v>1438.5500000000002</v>
      </c>
    </row>
    <row r="35" spans="2:14" x14ac:dyDescent="0.3">
      <c r="B35" s="26" t="s">
        <v>125</v>
      </c>
      <c r="C35" s="26"/>
      <c r="D35" s="26">
        <f>D34/D10</f>
        <v>0.18772228931353749</v>
      </c>
      <c r="E35" s="26">
        <f t="shared" ref="E35:N35" si="12">E34/E10</f>
        <v>0.19809984073809658</v>
      </c>
      <c r="F35" s="26">
        <f t="shared" si="12"/>
        <v>0.19654337334703892</v>
      </c>
      <c r="G35" s="26">
        <f t="shared" si="12"/>
        <v>0.18378682450600964</v>
      </c>
      <c r="H35" s="26">
        <f t="shared" si="12"/>
        <v>0.1991495204074259</v>
      </c>
      <c r="I35" s="26">
        <f t="shared" si="12"/>
        <v>0.20723452128978131</v>
      </c>
      <c r="J35" s="26">
        <f t="shared" si="12"/>
        <v>0.18232938969022272</v>
      </c>
      <c r="K35" s="26">
        <f t="shared" si="12"/>
        <v>0.16316390104316486</v>
      </c>
      <c r="L35" s="26">
        <f t="shared" si="12"/>
        <v>0.19339900633275348</v>
      </c>
      <c r="M35" s="26">
        <f t="shared" si="12"/>
        <v>0.19541417670950584</v>
      </c>
      <c r="N35" s="26">
        <f t="shared" si="12"/>
        <v>0.12343343235122005</v>
      </c>
    </row>
    <row r="36" spans="2:14" x14ac:dyDescent="0.3"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2:14" x14ac:dyDescent="0.3">
      <c r="B37" s="21" t="s">
        <v>68</v>
      </c>
      <c r="D37" s="25">
        <f>'Data Sheet'!B29</f>
        <v>188.62</v>
      </c>
      <c r="E37" s="25">
        <f>'Data Sheet'!C29</f>
        <v>229.42</v>
      </c>
      <c r="F37" s="25">
        <f>'Data Sheet'!D29</f>
        <v>243.91</v>
      </c>
      <c r="G37" s="25">
        <f>'Data Sheet'!E29</f>
        <v>271.27</v>
      </c>
      <c r="H37" s="25">
        <f>'Data Sheet'!F29</f>
        <v>227.06</v>
      </c>
      <c r="I37" s="25">
        <f>'Data Sheet'!G29</f>
        <v>258.89999999999998</v>
      </c>
      <c r="J37" s="25">
        <f>'Data Sheet'!H29</f>
        <v>289.33999999999997</v>
      </c>
      <c r="K37" s="25">
        <f>'Data Sheet'!I29</f>
        <v>301.94</v>
      </c>
      <c r="L37" s="25">
        <f>'Data Sheet'!J29</f>
        <v>387.07</v>
      </c>
      <c r="M37" s="25">
        <f>'Data Sheet'!K29</f>
        <v>385.66</v>
      </c>
      <c r="N37" s="25">
        <f>SUM('Data Sheet'!H48:K48)</f>
        <v>381.44</v>
      </c>
    </row>
    <row r="38" spans="2:14" x14ac:dyDescent="0.3">
      <c r="B38" s="24" t="s">
        <v>69</v>
      </c>
      <c r="C38" s="17"/>
      <c r="D38" s="26">
        <f>D37/D34</f>
        <v>0.23792524944183049</v>
      </c>
      <c r="E38" s="26">
        <f t="shared" ref="E38:N38" si="13">E37/E28</f>
        <v>0.24990740942463119</v>
      </c>
      <c r="F38" s="26">
        <f t="shared" si="13"/>
        <v>0.23456493306662579</v>
      </c>
      <c r="G38" s="26">
        <f t="shared" si="13"/>
        <v>0.23358563026874368</v>
      </c>
      <c r="H38" s="26">
        <f t="shared" si="13"/>
        <v>0.17269678047444842</v>
      </c>
      <c r="I38" s="26">
        <f t="shared" si="13"/>
        <v>0.17770120938405148</v>
      </c>
      <c r="J38" s="26">
        <f t="shared" si="13"/>
        <v>0.17554375853177615</v>
      </c>
      <c r="K38" s="26">
        <f t="shared" si="13"/>
        <v>0.16558085461086258</v>
      </c>
      <c r="L38" s="26">
        <f t="shared" si="13"/>
        <v>0.17248263231303282</v>
      </c>
      <c r="M38" s="26">
        <f t="shared" si="13"/>
        <v>0.1662850810815473</v>
      </c>
      <c r="N38" s="26">
        <f t="shared" si="13"/>
        <v>0.25410190989454606</v>
      </c>
    </row>
    <row r="39" spans="2:14" x14ac:dyDescent="0.3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</row>
    <row r="40" spans="2:14" x14ac:dyDescent="0.3">
      <c r="B40" s="20" t="s">
        <v>70</v>
      </c>
      <c r="D40" s="25">
        <f>D34-D37</f>
        <v>604.1500000000002</v>
      </c>
      <c r="E40" s="25">
        <f t="shared" ref="E40:N40" si="14">E34-E37</f>
        <v>672.38000000000022</v>
      </c>
      <c r="F40" s="25">
        <f t="shared" si="14"/>
        <v>771.37999999999931</v>
      </c>
      <c r="G40" s="25">
        <f t="shared" si="14"/>
        <v>842.81999999999948</v>
      </c>
      <c r="H40" s="25">
        <f t="shared" si="14"/>
        <v>1040.6899999999998</v>
      </c>
      <c r="I40" s="25">
        <f t="shared" si="14"/>
        <v>1153.94</v>
      </c>
      <c r="J40" s="25">
        <f t="shared" si="14"/>
        <v>1308.1899999999998</v>
      </c>
      <c r="K40" s="25">
        <f t="shared" si="14"/>
        <v>1422.3499999999992</v>
      </c>
      <c r="L40" s="25">
        <f t="shared" si="14"/>
        <v>1778.7899999999997</v>
      </c>
      <c r="M40" s="25">
        <f t="shared" si="14"/>
        <v>1870.339999999999</v>
      </c>
      <c r="N40" s="25">
        <f t="shared" si="14"/>
        <v>1057.1100000000001</v>
      </c>
    </row>
    <row r="41" spans="2:14" ht="15" thickBot="1" x14ac:dyDescent="0.35">
      <c r="B41" s="37" t="s">
        <v>71</v>
      </c>
      <c r="C41" s="35"/>
      <c r="D41" s="36">
        <f>D40/D10</f>
        <v>0.14305841680282261</v>
      </c>
      <c r="E41" s="36">
        <f t="shared" ref="E41:N41" si="15">E40/E10</f>
        <v>0.1477027843374156</v>
      </c>
      <c r="F41" s="36">
        <f t="shared" si="15"/>
        <v>0.14932642627469872</v>
      </c>
      <c r="G41" s="36">
        <f t="shared" si="15"/>
        <v>0.13903653334125163</v>
      </c>
      <c r="H41" s="36">
        <f t="shared" si="15"/>
        <v>0.16348090269596061</v>
      </c>
      <c r="I41" s="36">
        <f t="shared" si="15"/>
        <v>0.16925922503406629</v>
      </c>
      <c r="J41" s="36">
        <f t="shared" si="15"/>
        <v>0.14930641947184245</v>
      </c>
      <c r="K41" s="36">
        <f t="shared" si="15"/>
        <v>0.13459231025450794</v>
      </c>
      <c r="L41" s="36">
        <f t="shared" si="15"/>
        <v>0.15883585202858844</v>
      </c>
      <c r="M41" s="36">
        <f t="shared" si="15"/>
        <v>0.16200840038424519</v>
      </c>
      <c r="N41" s="36">
        <f t="shared" si="15"/>
        <v>9.070433121740519E-2</v>
      </c>
    </row>
    <row r="42" spans="2:14" ht="15" thickTop="1" x14ac:dyDescent="0.3">
      <c r="B42" s="24"/>
      <c r="C42" s="1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4" spans="2:14" x14ac:dyDescent="0.3">
      <c r="B44" s="30" t="s">
        <v>76</v>
      </c>
      <c r="C44" s="31"/>
      <c r="D44" s="32">
        <f>'Data Sheet'!B124</f>
        <v>116.51</v>
      </c>
      <c r="E44" s="32">
        <f>'Data Sheet'!C124</f>
        <v>116.52</v>
      </c>
      <c r="F44" s="32">
        <f>'Data Sheet'!D124</f>
        <v>116.52</v>
      </c>
      <c r="G44" s="32">
        <f>'Data Sheet'!E124</f>
        <v>116.54</v>
      </c>
      <c r="H44" s="32">
        <f>'Data Sheet'!F124</f>
        <v>116.55</v>
      </c>
      <c r="I44" s="32">
        <f>'Data Sheet'!G124</f>
        <v>116.56</v>
      </c>
      <c r="J44" s="32">
        <f>'Data Sheet'!H124</f>
        <v>116.56</v>
      </c>
      <c r="K44" s="32">
        <f>'Data Sheet'!I124</f>
        <v>116.57</v>
      </c>
      <c r="L44" s="32">
        <f>'Data Sheet'!J124</f>
        <v>116.58</v>
      </c>
      <c r="M44" s="32">
        <f>'Data Sheet'!K124</f>
        <v>116.59</v>
      </c>
    </row>
    <row r="45" spans="2:14" x14ac:dyDescent="0.3">
      <c r="B45" s="30" t="s">
        <v>74</v>
      </c>
      <c r="C45" s="31"/>
      <c r="D45" s="33">
        <f>D40/D44</f>
        <v>5.1853918118616447</v>
      </c>
      <c r="E45" s="33">
        <f t="shared" ref="E45:M45" si="16">E40/E44</f>
        <v>5.7705115001716463</v>
      </c>
      <c r="F45" s="33">
        <f t="shared" si="16"/>
        <v>6.6201510470305474</v>
      </c>
      <c r="G45" s="33">
        <f t="shared" si="16"/>
        <v>7.2320233396258748</v>
      </c>
      <c r="H45" s="33">
        <f t="shared" si="16"/>
        <v>8.9291291291291284</v>
      </c>
      <c r="I45" s="33">
        <f t="shared" si="16"/>
        <v>9.8999656829100893</v>
      </c>
      <c r="J45" s="33">
        <f t="shared" si="16"/>
        <v>11.223318462594371</v>
      </c>
      <c r="K45" s="33">
        <f t="shared" si="16"/>
        <v>12.201681393154322</v>
      </c>
      <c r="L45" s="33">
        <f t="shared" si="16"/>
        <v>15.258106021616056</v>
      </c>
      <c r="M45" s="33">
        <f t="shared" si="16"/>
        <v>16.04202761814906</v>
      </c>
    </row>
    <row r="46" spans="2:14" x14ac:dyDescent="0.3">
      <c r="B46" s="30" t="s">
        <v>72</v>
      </c>
      <c r="C46" s="31"/>
      <c r="D46" s="33">
        <f>'Data Sheet'!B31/D44</f>
        <v>0.9821474551540641</v>
      </c>
      <c r="E46" s="33">
        <f>'Data Sheet'!C31/E44</f>
        <v>1.4582904222451081</v>
      </c>
      <c r="F46" s="33">
        <f>'Data Sheet'!D31/F44</f>
        <v>1.5</v>
      </c>
      <c r="G46" s="33">
        <f>'Data Sheet'!E31/G44</f>
        <v>1.5832332246438989</v>
      </c>
      <c r="H46" s="33">
        <f>'Data Sheet'!F31/H44</f>
        <v>1.8332046332046332</v>
      </c>
      <c r="I46" s="33">
        <f>'Data Sheet'!G31/I44</f>
        <v>2.3332189430336303</v>
      </c>
      <c r="J46" s="33">
        <f>'Data Sheet'!H31/J44</f>
        <v>2.5832189430336308</v>
      </c>
      <c r="K46" s="33">
        <f>'Data Sheet'!I31/K44</f>
        <v>2.6666380715449947</v>
      </c>
      <c r="L46" s="33">
        <f>'Data Sheet'!J31/L44</f>
        <v>3.5</v>
      </c>
      <c r="M46" s="33">
        <f>'Data Sheet'!K31/M44</f>
        <v>3.7999828458701432</v>
      </c>
      <c r="N46" s="27"/>
    </row>
    <row r="47" spans="2:14" x14ac:dyDescent="0.3">
      <c r="B47" s="30" t="s">
        <v>73</v>
      </c>
      <c r="C47" s="31"/>
      <c r="D47" s="34">
        <f>D46/D45</f>
        <v>0.18940660432011913</v>
      </c>
      <c r="E47" s="34">
        <f t="shared" ref="E47:M47" si="17">E46/E45</f>
        <v>0.25271423897200979</v>
      </c>
      <c r="F47" s="34">
        <f t="shared" si="17"/>
        <v>0.22658093287355149</v>
      </c>
      <c r="G47" s="34">
        <f t="shared" si="17"/>
        <v>0.21891981680548647</v>
      </c>
      <c r="H47" s="34">
        <f t="shared" si="17"/>
        <v>0.20530609499466701</v>
      </c>
      <c r="I47" s="34">
        <f t="shared" si="17"/>
        <v>0.23567949806749047</v>
      </c>
      <c r="J47" s="34">
        <f t="shared" si="17"/>
        <v>0.23016534295476959</v>
      </c>
      <c r="K47" s="34">
        <f t="shared" si="17"/>
        <v>0.21854677118852614</v>
      </c>
      <c r="L47" s="34">
        <f t="shared" si="17"/>
        <v>0.22938626819354732</v>
      </c>
      <c r="M47" s="34">
        <f t="shared" si="17"/>
        <v>0.23687671760214735</v>
      </c>
      <c r="N47" s="27"/>
    </row>
    <row r="48" spans="2:14" ht="15" thickBot="1" x14ac:dyDescent="0.35">
      <c r="B48" s="29" t="s">
        <v>75</v>
      </c>
      <c r="C48" s="29"/>
      <c r="D48" s="29">
        <f>1 -D47</f>
        <v>0.81059339567988087</v>
      </c>
      <c r="E48" s="29">
        <f t="shared" ref="E48:M48" si="18">1 -E47</f>
        <v>0.74728576102799016</v>
      </c>
      <c r="F48" s="29">
        <f t="shared" si="18"/>
        <v>0.77341906712644848</v>
      </c>
      <c r="G48" s="29">
        <f t="shared" si="18"/>
        <v>0.78108018319451356</v>
      </c>
      <c r="H48" s="29">
        <f t="shared" si="18"/>
        <v>0.79469390500533299</v>
      </c>
      <c r="I48" s="29">
        <f t="shared" si="18"/>
        <v>0.76432050193250956</v>
      </c>
      <c r="J48" s="29">
        <f t="shared" si="18"/>
        <v>0.76983465704523035</v>
      </c>
      <c r="K48" s="29">
        <f t="shared" si="18"/>
        <v>0.78145322881147383</v>
      </c>
      <c r="L48" s="29">
        <f t="shared" si="18"/>
        <v>0.77061373180645265</v>
      </c>
      <c r="M48" s="29">
        <f t="shared" si="18"/>
        <v>0.76312328239785265</v>
      </c>
      <c r="N48" s="28"/>
    </row>
    <row r="49" ht="15" thickTop="1" x14ac:dyDescent="0.3"/>
  </sheetData>
  <mergeCells count="1">
    <mergeCell ref="B6:M6"/>
  </mergeCells>
  <pageMargins left="0.7" right="0.7" top="0.75" bottom="0.75" header="0.3" footer="0.3"/>
  <pageSetup scale="66" fitToHeight="0" orientation="landscape" r:id="rId1"/>
  <ignoredErrors>
    <ignoredError sqref="N13 N10 D19 E19:M19 N25 N31 N37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062D-6D85-4903-9C72-D57AED14C245}">
  <sheetPr>
    <pageSetUpPr fitToPage="1"/>
  </sheetPr>
  <dimension ref="B6:M29"/>
  <sheetViews>
    <sheetView showGridLines="0" workbookViewId="0">
      <selection activeCell="B6" sqref="B6:M6"/>
    </sheetView>
  </sheetViews>
  <sheetFormatPr defaultRowHeight="14.4" x14ac:dyDescent="0.3"/>
  <cols>
    <col min="1" max="1" width="1.88671875" customWidth="1"/>
    <col min="2" max="2" width="22.21875" style="21" customWidth="1"/>
    <col min="4" max="13" width="12.77734375" customWidth="1"/>
  </cols>
  <sheetData>
    <row r="6" spans="2:13" x14ac:dyDescent="0.3">
      <c r="B6" s="142" t="str">
        <f>"Historical Balance S " &amp;'Data Sheet'!B1</f>
        <v>Historical Balance S BERGER PAINTS INDIA LTD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</row>
    <row r="7" spans="2:13" x14ac:dyDescent="0.3">
      <c r="B7" s="19" t="s">
        <v>54</v>
      </c>
      <c r="C7" s="8"/>
      <c r="D7" s="13">
        <f>'Data Sheet'!B16</f>
        <v>42460</v>
      </c>
      <c r="E7" s="13">
        <f>'Data Sheet'!C16</f>
        <v>42825</v>
      </c>
      <c r="F7" s="13">
        <f>'Data Sheet'!D16</f>
        <v>43190</v>
      </c>
      <c r="G7" s="13">
        <f>'Data Sheet'!E16</f>
        <v>43555</v>
      </c>
      <c r="H7" s="13">
        <f>'Data Sheet'!F16</f>
        <v>43921</v>
      </c>
      <c r="I7" s="13">
        <f>'Data Sheet'!G16</f>
        <v>44286</v>
      </c>
      <c r="J7" s="13">
        <f>'Data Sheet'!H16</f>
        <v>44651</v>
      </c>
      <c r="K7" s="13">
        <f>'Data Sheet'!I16</f>
        <v>45016</v>
      </c>
      <c r="L7" s="13">
        <f>'Data Sheet'!J16</f>
        <v>45382</v>
      </c>
      <c r="M7" s="13">
        <f>'Data Sheet'!K16</f>
        <v>45747</v>
      </c>
    </row>
    <row r="8" spans="2:13" x14ac:dyDescent="0.3">
      <c r="B8" s="20" t="s">
        <v>77</v>
      </c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2:13" x14ac:dyDescent="0.3">
      <c r="B9" s="20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2:13" x14ac:dyDescent="0.3">
      <c r="B10" s="41" t="str">
        <f>'Data Sheet'!A57</f>
        <v>Equity Share Capital</v>
      </c>
      <c r="C10" s="11"/>
      <c r="D10" s="42">
        <f>'Data Sheet'!B57</f>
        <v>69.349999999999994</v>
      </c>
      <c r="E10" s="42">
        <f>'Data Sheet'!C57</f>
        <v>97.1</v>
      </c>
      <c r="F10" s="42">
        <f>'Data Sheet'!D57</f>
        <v>97.1</v>
      </c>
      <c r="G10" s="42">
        <f>'Data Sheet'!E57</f>
        <v>97.11</v>
      </c>
      <c r="H10" s="42">
        <f>'Data Sheet'!F57</f>
        <v>97.12</v>
      </c>
      <c r="I10" s="42">
        <f>'Data Sheet'!G57</f>
        <v>97.13</v>
      </c>
      <c r="J10" s="42">
        <f>'Data Sheet'!H57</f>
        <v>97.13</v>
      </c>
      <c r="K10" s="42">
        <f>'Data Sheet'!I57</f>
        <v>97.14</v>
      </c>
      <c r="L10" s="42">
        <f>'Data Sheet'!J57</f>
        <v>116.58</v>
      </c>
      <c r="M10" s="42">
        <f>'Data Sheet'!K57</f>
        <v>116.59</v>
      </c>
    </row>
    <row r="11" spans="2:13" x14ac:dyDescent="0.3">
      <c r="B11" s="41" t="str">
        <f>'Data Sheet'!A58</f>
        <v>Reserves</v>
      </c>
      <c r="C11" s="11"/>
      <c r="D11" s="42">
        <f>'Data Sheet'!B58</f>
        <v>1492.74</v>
      </c>
      <c r="E11" s="42">
        <f>'Data Sheet'!C58</f>
        <v>1804.46</v>
      </c>
      <c r="F11" s="42">
        <f>'Data Sheet'!D58</f>
        <v>2097.41</v>
      </c>
      <c r="G11" s="42">
        <f>'Data Sheet'!E58</f>
        <v>2346.6999999999998</v>
      </c>
      <c r="H11" s="42">
        <f>'Data Sheet'!F58</f>
        <v>2563.0100000000002</v>
      </c>
      <c r="I11" s="42">
        <f>'Data Sheet'!G58</f>
        <v>3279.74</v>
      </c>
      <c r="J11" s="42">
        <f>'Data Sheet'!H58</f>
        <v>3829.86</v>
      </c>
      <c r="K11" s="42">
        <f>'Data Sheet'!I58</f>
        <v>4396.9799999999996</v>
      </c>
      <c r="L11" s="42">
        <f>'Data Sheet'!J58</f>
        <v>5262.39</v>
      </c>
      <c r="M11" s="42">
        <f>'Data Sheet'!K58</f>
        <v>6037.51</v>
      </c>
    </row>
    <row r="12" spans="2:13" x14ac:dyDescent="0.3">
      <c r="B12" s="41" t="str">
        <f>'Data Sheet'!A59</f>
        <v>Borrowings</v>
      </c>
      <c r="C12" s="11"/>
      <c r="D12" s="42">
        <f>'Data Sheet'!B59</f>
        <v>354.41</v>
      </c>
      <c r="E12" s="42">
        <f>'Data Sheet'!C59</f>
        <v>406.21</v>
      </c>
      <c r="F12" s="42">
        <f>'Data Sheet'!D59</f>
        <v>422.17</v>
      </c>
      <c r="G12" s="42">
        <f>'Data Sheet'!E59</f>
        <v>752.94</v>
      </c>
      <c r="H12" s="42">
        <f>'Data Sheet'!F59</f>
        <v>766.9</v>
      </c>
      <c r="I12" s="42">
        <f>'Data Sheet'!G59</f>
        <v>633.76</v>
      </c>
      <c r="J12" s="42">
        <f>'Data Sheet'!H59</f>
        <v>1013.53</v>
      </c>
      <c r="K12" s="42">
        <f>'Data Sheet'!I59</f>
        <v>1188.97</v>
      </c>
      <c r="L12" s="42">
        <f>'Data Sheet'!J59</f>
        <v>753.29</v>
      </c>
      <c r="M12" s="42">
        <f>'Data Sheet'!K59</f>
        <v>670.27</v>
      </c>
    </row>
    <row r="13" spans="2:13" x14ac:dyDescent="0.3">
      <c r="B13" s="41" t="str">
        <f>'Data Sheet'!A60</f>
        <v>Other Liabilities</v>
      </c>
      <c r="C13" s="11"/>
      <c r="D13" s="42">
        <f>'Data Sheet'!B60</f>
        <v>960.29</v>
      </c>
      <c r="E13" s="42">
        <f>'Data Sheet'!C60</f>
        <v>1131.8</v>
      </c>
      <c r="F13" s="42">
        <f>'Data Sheet'!D60</f>
        <v>1325.97</v>
      </c>
      <c r="G13" s="42">
        <f>'Data Sheet'!E60</f>
        <v>1359.92</v>
      </c>
      <c r="H13" s="42">
        <f>'Data Sheet'!F60</f>
        <v>1472.47</v>
      </c>
      <c r="I13" s="42">
        <f>'Data Sheet'!G60</f>
        <v>1907.01</v>
      </c>
      <c r="J13" s="42">
        <f>'Data Sheet'!H60</f>
        <v>2270.9699999999998</v>
      </c>
      <c r="K13" s="42">
        <f>'Data Sheet'!I60</f>
        <v>2283.3200000000002</v>
      </c>
      <c r="L13" s="42">
        <f>'Data Sheet'!J60</f>
        <v>2235.54</v>
      </c>
      <c r="M13" s="42">
        <f>'Data Sheet'!K60</f>
        <v>2300.4499999999998</v>
      </c>
    </row>
    <row r="14" spans="2:13" ht="15" thickBot="1" x14ac:dyDescent="0.35">
      <c r="B14" s="43" t="s">
        <v>78</v>
      </c>
      <c r="C14" s="44"/>
      <c r="D14" s="45">
        <f>SUM(D10:D13)</f>
        <v>2876.79</v>
      </c>
      <c r="E14" s="45">
        <f t="shared" ref="E14:M14" si="0">SUM(E10:E13)</f>
        <v>3439.5699999999997</v>
      </c>
      <c r="F14" s="45">
        <f t="shared" si="0"/>
        <v>3942.6499999999996</v>
      </c>
      <c r="G14" s="45">
        <f t="shared" si="0"/>
        <v>4556.67</v>
      </c>
      <c r="H14" s="45">
        <f t="shared" si="0"/>
        <v>4899.5</v>
      </c>
      <c r="I14" s="45">
        <f t="shared" si="0"/>
        <v>5917.64</v>
      </c>
      <c r="J14" s="45">
        <f t="shared" si="0"/>
        <v>7211.49</v>
      </c>
      <c r="K14" s="45">
        <f t="shared" si="0"/>
        <v>7966.41</v>
      </c>
      <c r="L14" s="45">
        <f t="shared" si="0"/>
        <v>8367.7999999999993</v>
      </c>
      <c r="M14" s="45">
        <f t="shared" si="0"/>
        <v>9124.82</v>
      </c>
    </row>
    <row r="15" spans="2:13" ht="15" thickTop="1" x14ac:dyDescent="0.3">
      <c r="B15" s="39"/>
      <c r="C15" s="9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2:13" x14ac:dyDescent="0.3">
      <c r="B16" s="41" t="str">
        <f>"Fixed " &amp;'Data Sheet'!A62</f>
        <v>Fixed Net Block</v>
      </c>
      <c r="C16" s="11"/>
      <c r="D16" s="42">
        <f>'Data Sheet'!B62</f>
        <v>962.92</v>
      </c>
      <c r="E16" s="42">
        <f>'Data Sheet'!C62</f>
        <v>1135.96</v>
      </c>
      <c r="F16" s="42">
        <f>'Data Sheet'!D62</f>
        <v>1267.17</v>
      </c>
      <c r="G16" s="42">
        <f>'Data Sheet'!E62</f>
        <v>1582.65</v>
      </c>
      <c r="H16" s="42">
        <f>'Data Sheet'!F62</f>
        <v>1915.57</v>
      </c>
      <c r="I16" s="42">
        <f>'Data Sheet'!G62</f>
        <v>2044.22</v>
      </c>
      <c r="J16" s="42">
        <f>'Data Sheet'!H62</f>
        <v>2186.81</v>
      </c>
      <c r="K16" s="42">
        <f>'Data Sheet'!I62</f>
        <v>3331.57</v>
      </c>
      <c r="L16" s="42">
        <f>'Data Sheet'!J62</f>
        <v>3499.72</v>
      </c>
      <c r="M16" s="42">
        <f>'Data Sheet'!K62</f>
        <v>3676.99</v>
      </c>
    </row>
    <row r="17" spans="2:13" x14ac:dyDescent="0.3">
      <c r="B17" s="41" t="str">
        <f>'Data Sheet'!A63</f>
        <v>Capital Work in Progress</v>
      </c>
      <c r="C17" s="11"/>
      <c r="D17" s="42">
        <f>'Data Sheet'!B63</f>
        <v>51.06</v>
      </c>
      <c r="E17" s="42">
        <f>'Data Sheet'!C63</f>
        <v>62.21</v>
      </c>
      <c r="F17" s="42">
        <f>'Data Sheet'!D63</f>
        <v>97.16</v>
      </c>
      <c r="G17" s="42">
        <f>'Data Sheet'!E63</f>
        <v>169.89</v>
      </c>
      <c r="H17" s="42">
        <f>'Data Sheet'!F63</f>
        <v>178.49</v>
      </c>
      <c r="I17" s="42">
        <f>'Data Sheet'!G63</f>
        <v>106.75</v>
      </c>
      <c r="J17" s="42">
        <f>'Data Sheet'!H63</f>
        <v>605.51</v>
      </c>
      <c r="K17" s="42">
        <f>'Data Sheet'!I63</f>
        <v>110.54</v>
      </c>
      <c r="L17" s="42">
        <f>'Data Sheet'!J63</f>
        <v>188.95</v>
      </c>
      <c r="M17" s="42">
        <f>'Data Sheet'!K63</f>
        <v>125.32</v>
      </c>
    </row>
    <row r="18" spans="2:13" x14ac:dyDescent="0.3">
      <c r="B18" s="41" t="str">
        <f>'Data Sheet'!A64</f>
        <v>Investments</v>
      </c>
      <c r="C18" s="11"/>
      <c r="D18" s="42">
        <f>'Data Sheet'!B64</f>
        <v>347.54</v>
      </c>
      <c r="E18" s="42">
        <f>'Data Sheet'!C64</f>
        <v>472.13</v>
      </c>
      <c r="F18" s="42">
        <f>'Data Sheet'!D64</f>
        <v>333.13</v>
      </c>
      <c r="G18" s="42">
        <f>'Data Sheet'!E64</f>
        <v>394.92</v>
      </c>
      <c r="H18" s="42">
        <f>'Data Sheet'!F64</f>
        <v>315.17</v>
      </c>
      <c r="I18" s="42">
        <f>'Data Sheet'!G64</f>
        <v>355.67</v>
      </c>
      <c r="J18" s="42">
        <f>'Data Sheet'!H64</f>
        <v>234.33</v>
      </c>
      <c r="K18" s="42">
        <f>'Data Sheet'!I64</f>
        <v>183.11</v>
      </c>
      <c r="L18" s="42">
        <f>'Data Sheet'!J64</f>
        <v>255.07</v>
      </c>
      <c r="M18" s="42">
        <f>'Data Sheet'!K64</f>
        <v>532.63</v>
      </c>
    </row>
    <row r="19" spans="2:13" x14ac:dyDescent="0.3">
      <c r="B19" s="41" t="str">
        <f>'Data Sheet'!A65</f>
        <v>Other Assets</v>
      </c>
      <c r="C19" s="11"/>
      <c r="D19" s="42">
        <f>'Data Sheet'!B65-SUM(D22:D24)</f>
        <v>131.30999999999995</v>
      </c>
      <c r="E19" s="42">
        <f>'Data Sheet'!C65-SUM(E22:E24)</f>
        <v>153.20999999999981</v>
      </c>
      <c r="F19" s="42">
        <f>'Data Sheet'!D65-SUM(F22:F24)</f>
        <v>340.48</v>
      </c>
      <c r="G19" s="42">
        <f>'Data Sheet'!E65-SUM(G22:G24)</f>
        <v>265.72000000000025</v>
      </c>
      <c r="H19" s="42">
        <f>'Data Sheet'!F65-SUM(H22:H24)</f>
        <v>277.77</v>
      </c>
      <c r="I19" s="42">
        <f>'Data Sheet'!G65-SUM(I22:I24)</f>
        <v>335.53999999999951</v>
      </c>
      <c r="J19" s="42">
        <f>'Data Sheet'!H65-SUM(J22:J24)</f>
        <v>502.38000000000011</v>
      </c>
      <c r="K19" s="42">
        <f>'Data Sheet'!I65-SUM(K22:K24)</f>
        <v>534.25999999999976</v>
      </c>
      <c r="L19" s="42">
        <f>'Data Sheet'!J65-SUM(L22:L24)</f>
        <v>491.71000000000049</v>
      </c>
      <c r="M19" s="42">
        <f>'Data Sheet'!K65-SUM(M22:M24)</f>
        <v>387.59000000000015</v>
      </c>
    </row>
    <row r="20" spans="2:13" ht="15" thickBot="1" x14ac:dyDescent="0.35">
      <c r="B20" s="43" t="s">
        <v>79</v>
      </c>
      <c r="C20" s="44"/>
      <c r="D20" s="45">
        <f>SUM(D16:D19)</f>
        <v>1492.83</v>
      </c>
      <c r="E20" s="45">
        <f t="shared" ref="E20:M20" si="1">SUM(E16:E19)</f>
        <v>1823.51</v>
      </c>
      <c r="F20" s="45">
        <f t="shared" si="1"/>
        <v>2037.94</v>
      </c>
      <c r="G20" s="45">
        <f t="shared" si="1"/>
        <v>2413.1800000000003</v>
      </c>
      <c r="H20" s="45">
        <f t="shared" si="1"/>
        <v>2687</v>
      </c>
      <c r="I20" s="45">
        <f t="shared" si="1"/>
        <v>2842.18</v>
      </c>
      <c r="J20" s="45">
        <f t="shared" si="1"/>
        <v>3529.0299999999997</v>
      </c>
      <c r="K20" s="45">
        <f t="shared" si="1"/>
        <v>4159.4799999999996</v>
      </c>
      <c r="L20" s="45">
        <f t="shared" si="1"/>
        <v>4435.4500000000007</v>
      </c>
      <c r="M20" s="45">
        <f t="shared" si="1"/>
        <v>4722.53</v>
      </c>
    </row>
    <row r="21" spans="2:13" ht="15" thickTop="1" x14ac:dyDescent="0.3">
      <c r="B21" s="38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spans="2:13" x14ac:dyDescent="0.3">
      <c r="B22" s="41" t="str">
        <f>'Data Sheet'!A67</f>
        <v>Receivables</v>
      </c>
      <c r="C22" s="11"/>
      <c r="D22" s="42">
        <f>'Data Sheet'!B67</f>
        <v>545.4</v>
      </c>
      <c r="E22" s="42">
        <f>'Data Sheet'!C67</f>
        <v>578.14</v>
      </c>
      <c r="F22" s="42">
        <f>'Data Sheet'!D67</f>
        <v>692.4</v>
      </c>
      <c r="G22" s="42">
        <f>'Data Sheet'!E67</f>
        <v>671.48</v>
      </c>
      <c r="H22" s="42">
        <f>'Data Sheet'!F67</f>
        <v>714.11</v>
      </c>
      <c r="I22" s="42">
        <f>'Data Sheet'!G67</f>
        <v>1019.72</v>
      </c>
      <c r="J22" s="42">
        <f>'Data Sheet'!H67</f>
        <v>1053.68</v>
      </c>
      <c r="K22" s="42">
        <f>'Data Sheet'!I67</f>
        <v>1243.1199999999999</v>
      </c>
      <c r="L22" s="42">
        <f>'Data Sheet'!J67</f>
        <v>1302.02</v>
      </c>
      <c r="M22" s="42">
        <f>'Data Sheet'!K67</f>
        <v>1535.67</v>
      </c>
    </row>
    <row r="23" spans="2:13" x14ac:dyDescent="0.3">
      <c r="B23" s="41" t="str">
        <f>'Data Sheet'!A68</f>
        <v>Inventory</v>
      </c>
      <c r="C23" s="11"/>
      <c r="D23" s="42">
        <f>'Data Sheet'!B68</f>
        <v>733.23</v>
      </c>
      <c r="E23" s="42">
        <f>'Data Sheet'!C68</f>
        <v>935.47</v>
      </c>
      <c r="F23" s="42">
        <f>'Data Sheet'!D68</f>
        <v>1007.34</v>
      </c>
      <c r="G23" s="42">
        <f>'Data Sheet'!E68</f>
        <v>1233.53</v>
      </c>
      <c r="H23" s="42">
        <f>'Data Sheet'!F68</f>
        <v>1278.46</v>
      </c>
      <c r="I23" s="42">
        <f>'Data Sheet'!G68</f>
        <v>1616.13</v>
      </c>
      <c r="J23" s="42">
        <f>'Data Sheet'!H68</f>
        <v>2315.83</v>
      </c>
      <c r="K23" s="42">
        <f>'Data Sheet'!I68</f>
        <v>2319.12</v>
      </c>
      <c r="L23" s="42">
        <f>'Data Sheet'!J68</f>
        <v>2179.6799999999998</v>
      </c>
      <c r="M23" s="42">
        <f>'Data Sheet'!K68</f>
        <v>2366.14</v>
      </c>
    </row>
    <row r="24" spans="2:13" x14ac:dyDescent="0.3">
      <c r="B24" s="41" t="str">
        <f>'Data Sheet'!A69</f>
        <v>Cash &amp; Bank</v>
      </c>
      <c r="C24" s="11"/>
      <c r="D24" s="42">
        <f>'Data Sheet'!B69</f>
        <v>105.33</v>
      </c>
      <c r="E24" s="42">
        <f>'Data Sheet'!C69</f>
        <v>102.45</v>
      </c>
      <c r="F24" s="42">
        <f>'Data Sheet'!D69</f>
        <v>204.97</v>
      </c>
      <c r="G24" s="42">
        <f>'Data Sheet'!E69</f>
        <v>238.48</v>
      </c>
      <c r="H24" s="42">
        <f>'Data Sheet'!F69</f>
        <v>219.93</v>
      </c>
      <c r="I24" s="42">
        <f>'Data Sheet'!G69</f>
        <v>439.61</v>
      </c>
      <c r="J24" s="42">
        <f>'Data Sheet'!H69</f>
        <v>312.95</v>
      </c>
      <c r="K24" s="42">
        <f>'Data Sheet'!I69</f>
        <v>244.69</v>
      </c>
      <c r="L24" s="42">
        <f>'Data Sheet'!J69</f>
        <v>450.65</v>
      </c>
      <c r="M24" s="42">
        <f>'Data Sheet'!K69</f>
        <v>500.48</v>
      </c>
    </row>
    <row r="25" spans="2:13" ht="15" thickBot="1" x14ac:dyDescent="0.35">
      <c r="B25" s="43" t="s">
        <v>80</v>
      </c>
      <c r="C25" s="44"/>
      <c r="D25" s="45">
        <f>SUM(D22:D24)</f>
        <v>1383.96</v>
      </c>
      <c r="E25" s="45">
        <f t="shared" ref="E25:M25" si="2">SUM(E22:E24)</f>
        <v>1616.0600000000002</v>
      </c>
      <c r="F25" s="45">
        <f t="shared" si="2"/>
        <v>1904.71</v>
      </c>
      <c r="G25" s="45">
        <f t="shared" si="2"/>
        <v>2143.4899999999998</v>
      </c>
      <c r="H25" s="45">
        <f t="shared" si="2"/>
        <v>2212.5</v>
      </c>
      <c r="I25" s="45">
        <f t="shared" si="2"/>
        <v>3075.4600000000005</v>
      </c>
      <c r="J25" s="45">
        <f t="shared" si="2"/>
        <v>3682.46</v>
      </c>
      <c r="K25" s="45">
        <f t="shared" si="2"/>
        <v>3806.93</v>
      </c>
      <c r="L25" s="45">
        <f t="shared" si="2"/>
        <v>3932.35</v>
      </c>
      <c r="M25" s="45">
        <f t="shared" si="2"/>
        <v>4402.29</v>
      </c>
    </row>
    <row r="26" spans="2:13" ht="15" thickTop="1" x14ac:dyDescent="0.3">
      <c r="B26" s="38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2:13" x14ac:dyDescent="0.3">
      <c r="B27" s="20" t="s">
        <v>81</v>
      </c>
      <c r="C27" s="9"/>
      <c r="D27" s="40">
        <f>D20+D25</f>
        <v>2876.79</v>
      </c>
      <c r="E27" s="40">
        <f t="shared" ref="E27:M27" si="3">E20+E25</f>
        <v>3439.57</v>
      </c>
      <c r="F27" s="40">
        <f t="shared" si="3"/>
        <v>3942.65</v>
      </c>
      <c r="G27" s="40">
        <f t="shared" si="3"/>
        <v>4556.67</v>
      </c>
      <c r="H27" s="40">
        <f t="shared" si="3"/>
        <v>4899.5</v>
      </c>
      <c r="I27" s="40">
        <f t="shared" si="3"/>
        <v>5917.64</v>
      </c>
      <c r="J27" s="40">
        <f t="shared" si="3"/>
        <v>7211.49</v>
      </c>
      <c r="K27" s="40">
        <f t="shared" si="3"/>
        <v>7966.41</v>
      </c>
      <c r="L27" s="40">
        <f t="shared" si="3"/>
        <v>8367.8000000000011</v>
      </c>
      <c r="M27" s="40">
        <f t="shared" si="3"/>
        <v>9124.82</v>
      </c>
    </row>
    <row r="29" spans="2:13" x14ac:dyDescent="0.3">
      <c r="B29" s="46" t="s">
        <v>82</v>
      </c>
      <c r="C29" s="47"/>
      <c r="D29" s="48" t="b">
        <f>D14=D27</f>
        <v>1</v>
      </c>
      <c r="E29" s="48" t="b">
        <f t="shared" ref="E29:M29" si="4">E14=E27</f>
        <v>1</v>
      </c>
      <c r="F29" s="48" t="b">
        <f t="shared" si="4"/>
        <v>1</v>
      </c>
      <c r="G29" s="48" t="b">
        <f t="shared" si="4"/>
        <v>1</v>
      </c>
      <c r="H29" s="48" t="b">
        <f t="shared" si="4"/>
        <v>1</v>
      </c>
      <c r="I29" s="48" t="b">
        <f t="shared" si="4"/>
        <v>1</v>
      </c>
      <c r="J29" s="48" t="b">
        <f t="shared" si="4"/>
        <v>1</v>
      </c>
      <c r="K29" s="48" t="b">
        <f t="shared" si="4"/>
        <v>1</v>
      </c>
      <c r="L29" s="48" t="b">
        <f t="shared" si="4"/>
        <v>1</v>
      </c>
      <c r="M29" s="48" t="b">
        <f t="shared" si="4"/>
        <v>1</v>
      </c>
    </row>
  </sheetData>
  <mergeCells count="1">
    <mergeCell ref="B6:M6"/>
  </mergeCells>
  <pageMargins left="0.7" right="0.7" top="0.75" bottom="0.75" header="0.3" footer="0.3"/>
  <pageSetup scale="9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9B98-B37E-4BE6-9F37-9E3EA9B61679}">
  <sheetPr>
    <pageSetUpPr fitToPage="1"/>
  </sheetPr>
  <dimension ref="B6:L44"/>
  <sheetViews>
    <sheetView showGridLines="0" workbookViewId="0">
      <selection activeCell="D14" sqref="D14"/>
    </sheetView>
  </sheetViews>
  <sheetFormatPr defaultRowHeight="14.4" x14ac:dyDescent="0.3"/>
  <cols>
    <col min="1" max="1" width="1.88671875" customWidth="1"/>
    <col min="2" max="2" width="30.44140625" customWidth="1"/>
    <col min="3" max="12" width="13.77734375" customWidth="1"/>
  </cols>
  <sheetData>
    <row r="6" spans="2:12" x14ac:dyDescent="0.3">
      <c r="B6" s="142" t="str">
        <f>"Historical Data of " &amp;'Data Sheet'!B1</f>
        <v>Historical Data of BERGER PAINTS INDIA LTD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</row>
    <row r="7" spans="2:12" x14ac:dyDescent="0.3">
      <c r="B7" s="19" t="s">
        <v>54</v>
      </c>
      <c r="C7" s="13">
        <f>'Data Sheet'!B16</f>
        <v>42460</v>
      </c>
      <c r="D7" s="13">
        <f>'Data Sheet'!C16</f>
        <v>42825</v>
      </c>
      <c r="E7" s="13">
        <f>'Data Sheet'!D16</f>
        <v>43190</v>
      </c>
      <c r="F7" s="13">
        <f>'Data Sheet'!E16</f>
        <v>43555</v>
      </c>
      <c r="G7" s="13">
        <f>'Data Sheet'!F16</f>
        <v>43921</v>
      </c>
      <c r="H7" s="13">
        <f>'Data Sheet'!G16</f>
        <v>44286</v>
      </c>
      <c r="I7" s="13">
        <f>'Data Sheet'!H16</f>
        <v>44651</v>
      </c>
      <c r="J7" s="13">
        <f>'Data Sheet'!I16</f>
        <v>45016</v>
      </c>
      <c r="K7" s="13">
        <f>'Data Sheet'!J16</f>
        <v>45382</v>
      </c>
      <c r="L7" s="13">
        <f>'Data Sheet'!K16</f>
        <v>45747</v>
      </c>
    </row>
    <row r="9" spans="2:12" x14ac:dyDescent="0.3">
      <c r="B9" s="9" t="s">
        <v>110</v>
      </c>
    </row>
    <row r="10" spans="2:12" x14ac:dyDescent="0.3">
      <c r="B10" s="54" t="str">
        <f>'Data Sheet'!A89</f>
        <v>Profit from operations</v>
      </c>
      <c r="C10" s="42">
        <f>'Data Sheet'!B89</f>
        <v>438</v>
      </c>
      <c r="D10" s="42">
        <f>'Data Sheet'!C89</f>
        <v>524</v>
      </c>
      <c r="E10" s="42">
        <f>'Data Sheet'!D89</f>
        <v>659</v>
      </c>
      <c r="F10" s="42">
        <f>'Data Sheet'!E89</f>
        <v>742</v>
      </c>
      <c r="G10" s="42">
        <f>'Data Sheet'!F89</f>
        <v>827</v>
      </c>
      <c r="H10" s="42">
        <f>'Data Sheet'!G89</f>
        <v>946</v>
      </c>
      <c r="I10" s="42">
        <f>'Data Sheet'!H89</f>
        <v>1087</v>
      </c>
      <c r="J10" s="42">
        <f>'Data Sheet'!I89</f>
        <v>1216</v>
      </c>
      <c r="K10" s="42">
        <f>'Data Sheet'!J89</f>
        <v>1356</v>
      </c>
      <c r="L10" s="42">
        <f>'Data Sheet'!K89</f>
        <v>1543</v>
      </c>
    </row>
    <row r="11" spans="2:12" x14ac:dyDescent="0.3">
      <c r="B11" s="54" t="str">
        <f>'Data Sheet'!A90</f>
        <v>Receivables</v>
      </c>
      <c r="C11" s="42">
        <f>'Data Sheet'!B90</f>
        <v>-101</v>
      </c>
      <c r="D11" s="42">
        <f>'Data Sheet'!C90</f>
        <v>-49</v>
      </c>
      <c r="E11" s="42">
        <f>'Data Sheet'!D90</f>
        <v>-44</v>
      </c>
      <c r="F11" s="42">
        <f>'Data Sheet'!E90</f>
        <v>-34</v>
      </c>
      <c r="G11" s="42">
        <f>'Data Sheet'!F90</f>
        <v>-114</v>
      </c>
      <c r="H11" s="42">
        <f>'Data Sheet'!G90</f>
        <v>21</v>
      </c>
      <c r="I11" s="42">
        <f>'Data Sheet'!H90</f>
        <v>-43</v>
      </c>
      <c r="J11" s="42">
        <f>'Data Sheet'!I90</f>
        <v>-306</v>
      </c>
      <c r="K11" s="42">
        <f>'Data Sheet'!J90</f>
        <v>-34</v>
      </c>
      <c r="L11" s="42">
        <f>'Data Sheet'!K90</f>
        <v>-212</v>
      </c>
    </row>
    <row r="12" spans="2:12" x14ac:dyDescent="0.3">
      <c r="B12" s="54" t="str">
        <f>'Data Sheet'!A91</f>
        <v>Inventory</v>
      </c>
      <c r="C12" s="42">
        <f>'Data Sheet'!B91</f>
        <v>-60</v>
      </c>
      <c r="D12" s="42">
        <f>'Data Sheet'!C91</f>
        <v>-24</v>
      </c>
      <c r="E12" s="42">
        <f>'Data Sheet'!D91</f>
        <v>-39</v>
      </c>
      <c r="F12" s="42">
        <f>'Data Sheet'!E91</f>
        <v>-203</v>
      </c>
      <c r="G12" s="42">
        <f>'Data Sheet'!F91</f>
        <v>-72</v>
      </c>
      <c r="H12" s="42">
        <f>'Data Sheet'!G91</f>
        <v>-226</v>
      </c>
      <c r="I12" s="42">
        <f>'Data Sheet'!H91</f>
        <v>-45</v>
      </c>
      <c r="J12" s="42">
        <f>'Data Sheet'!I91</f>
        <v>-338</v>
      </c>
      <c r="K12" s="42">
        <f>'Data Sheet'!J91</f>
        <v>-700</v>
      </c>
      <c r="L12" s="42">
        <f>'Data Sheet'!K91</f>
        <v>-3</v>
      </c>
    </row>
    <row r="13" spans="2:12" x14ac:dyDescent="0.3">
      <c r="B13" s="54" t="str">
        <f>'Data Sheet'!A92</f>
        <v>Payables</v>
      </c>
      <c r="C13" s="42">
        <f>'Data Sheet'!B92</f>
        <v>136</v>
      </c>
      <c r="D13" s="42">
        <f>'Data Sheet'!C92</f>
        <v>15</v>
      </c>
      <c r="E13" s="42">
        <f>'Data Sheet'!D92</f>
        <v>132</v>
      </c>
      <c r="F13" s="42">
        <f>'Data Sheet'!E92</f>
        <v>92</v>
      </c>
      <c r="G13" s="42">
        <f>'Data Sheet'!F92</f>
        <v>194</v>
      </c>
      <c r="H13" s="42">
        <f>'Data Sheet'!G92</f>
        <v>46</v>
      </c>
      <c r="I13" s="42">
        <f>'Data Sheet'!H92</f>
        <v>63</v>
      </c>
      <c r="J13" s="42">
        <f>'Data Sheet'!I92</f>
        <v>433</v>
      </c>
      <c r="K13" s="42">
        <f>'Data Sheet'!J92</f>
        <v>314</v>
      </c>
      <c r="L13" s="42">
        <f>'Data Sheet'!K92</f>
        <v>-37</v>
      </c>
    </row>
    <row r="14" spans="2:12" x14ac:dyDescent="0.3">
      <c r="B14" s="54" t="str">
        <f>'Data Sheet'!A93</f>
        <v>Loans Advances</v>
      </c>
      <c r="C14" s="42">
        <f>'Data Sheet'!B93</f>
        <v>0</v>
      </c>
      <c r="D14" s="42">
        <f>'Data Sheet'!C93</f>
        <v>53</v>
      </c>
      <c r="E14" s="42">
        <f>'Data Sheet'!D93</f>
        <v>0</v>
      </c>
      <c r="F14" s="42">
        <f>'Data Sheet'!E93</f>
        <v>2</v>
      </c>
      <c r="G14" s="42">
        <f>'Data Sheet'!F93</f>
        <v>4</v>
      </c>
      <c r="H14" s="42">
        <f>'Data Sheet'!G93</f>
        <v>-1</v>
      </c>
      <c r="I14" s="42">
        <f>'Data Sheet'!H93</f>
        <v>-5</v>
      </c>
      <c r="J14" s="42">
        <f>'Data Sheet'!I93</f>
        <v>-30</v>
      </c>
      <c r="K14" s="42">
        <f>'Data Sheet'!J93</f>
        <v>-8</v>
      </c>
      <c r="L14" s="42">
        <f>'Data Sheet'!K93</f>
        <v>-41</v>
      </c>
    </row>
    <row r="15" spans="2:12" x14ac:dyDescent="0.3">
      <c r="B15" s="54" t="str">
        <f>'Data Sheet'!A94</f>
        <v>Other WC items</v>
      </c>
      <c r="C15" s="42">
        <f>'Data Sheet'!B94</f>
        <v>0</v>
      </c>
      <c r="D15" s="42">
        <f>'Data Sheet'!C94</f>
        <v>16</v>
      </c>
      <c r="E15" s="42">
        <f>'Data Sheet'!D94</f>
        <v>65</v>
      </c>
      <c r="F15" s="42">
        <f>'Data Sheet'!E94</f>
        <v>16</v>
      </c>
      <c r="G15" s="42">
        <f>'Data Sheet'!F94</f>
        <v>-140</v>
      </c>
      <c r="H15" s="42">
        <f>'Data Sheet'!G94</f>
        <v>69</v>
      </c>
      <c r="I15" s="42">
        <f>'Data Sheet'!H94</f>
        <v>-71</v>
      </c>
      <c r="J15" s="42">
        <f>'Data Sheet'!I94</f>
        <v>72</v>
      </c>
      <c r="K15" s="42">
        <f>'Data Sheet'!J94</f>
        <v>-62</v>
      </c>
      <c r="L15" s="42">
        <f>'Data Sheet'!K94</f>
        <v>35</v>
      </c>
    </row>
    <row r="16" spans="2:12" x14ac:dyDescent="0.3">
      <c r="B16" s="54" t="str">
        <f>'Data Sheet'!A95</f>
        <v>Working capital changes</v>
      </c>
      <c r="C16" s="42">
        <f>'Data Sheet'!B95</f>
        <v>-26</v>
      </c>
      <c r="D16" s="42">
        <f>'Data Sheet'!C95</f>
        <v>12</v>
      </c>
      <c r="E16" s="42">
        <f>'Data Sheet'!D95</f>
        <v>114</v>
      </c>
      <c r="F16" s="42">
        <f>'Data Sheet'!E95</f>
        <v>-128</v>
      </c>
      <c r="G16" s="42">
        <f>'Data Sheet'!F95</f>
        <v>-128</v>
      </c>
      <c r="H16" s="42">
        <f>'Data Sheet'!G95</f>
        <v>-92</v>
      </c>
      <c r="I16" s="42">
        <f>'Data Sheet'!H95</f>
        <v>-100</v>
      </c>
      <c r="J16" s="42">
        <f>'Data Sheet'!I95</f>
        <v>-168</v>
      </c>
      <c r="K16" s="42">
        <f>'Data Sheet'!J95</f>
        <v>-490</v>
      </c>
      <c r="L16" s="42">
        <f>'Data Sheet'!K95</f>
        <v>-259</v>
      </c>
    </row>
    <row r="17" spans="2:12" x14ac:dyDescent="0.3">
      <c r="B17" s="54" t="str">
        <f>'Data Sheet'!A96</f>
        <v>Direct taxes</v>
      </c>
      <c r="C17" s="42">
        <f>'Data Sheet'!B96</f>
        <v>-102</v>
      </c>
      <c r="D17" s="42">
        <f>'Data Sheet'!C96</f>
        <v>-122</v>
      </c>
      <c r="E17" s="42">
        <f>'Data Sheet'!D96</f>
        <v>-178</v>
      </c>
      <c r="F17" s="42">
        <f>'Data Sheet'!E96</f>
        <v>-220</v>
      </c>
      <c r="G17" s="42">
        <f>'Data Sheet'!F96</f>
        <v>-277</v>
      </c>
      <c r="H17" s="42">
        <f>'Data Sheet'!G96</f>
        <v>-243</v>
      </c>
      <c r="I17" s="42">
        <f>'Data Sheet'!H96</f>
        <v>-263</v>
      </c>
      <c r="J17" s="42">
        <f>'Data Sheet'!I96</f>
        <v>-252</v>
      </c>
      <c r="K17" s="42">
        <f>'Data Sheet'!J96</f>
        <v>-299</v>
      </c>
      <c r="L17" s="42">
        <f>'Data Sheet'!K96</f>
        <v>-308</v>
      </c>
    </row>
    <row r="18" spans="2:12" ht="15" thickBot="1" x14ac:dyDescent="0.35">
      <c r="B18" s="53" t="s">
        <v>111</v>
      </c>
      <c r="C18" s="45">
        <f>SUM(C10:C17)</f>
        <v>285</v>
      </c>
      <c r="D18" s="45">
        <f t="shared" ref="D18:L18" si="0">SUM(D10:D17)</f>
        <v>425</v>
      </c>
      <c r="E18" s="45">
        <f t="shared" si="0"/>
        <v>709</v>
      </c>
      <c r="F18" s="45">
        <f t="shared" si="0"/>
        <v>267</v>
      </c>
      <c r="G18" s="45">
        <f t="shared" si="0"/>
        <v>294</v>
      </c>
      <c r="H18" s="45">
        <f t="shared" si="0"/>
        <v>520</v>
      </c>
      <c r="I18" s="45">
        <f t="shared" si="0"/>
        <v>623</v>
      </c>
      <c r="J18" s="45">
        <f t="shared" si="0"/>
        <v>627</v>
      </c>
      <c r="K18" s="45">
        <f t="shared" si="0"/>
        <v>77</v>
      </c>
      <c r="L18" s="45">
        <f t="shared" si="0"/>
        <v>718</v>
      </c>
    </row>
    <row r="19" spans="2:12" ht="15" thickTop="1" x14ac:dyDescent="0.3">
      <c r="B19" s="51"/>
      <c r="C19" s="57"/>
      <c r="D19" s="57"/>
      <c r="E19" s="57"/>
      <c r="F19" s="57"/>
      <c r="G19" s="57"/>
      <c r="H19" s="57"/>
      <c r="I19" s="57"/>
      <c r="J19" s="57"/>
      <c r="K19" s="57"/>
      <c r="L19" s="57"/>
    </row>
    <row r="20" spans="2:12" x14ac:dyDescent="0.3">
      <c r="B20" s="52" t="s">
        <v>112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</row>
    <row r="21" spans="2:12" x14ac:dyDescent="0.3">
      <c r="B21" s="54" t="str">
        <f>'Data Sheet'!A98</f>
        <v>Fixed assets purchased</v>
      </c>
      <c r="C21" s="42">
        <f>'Data Sheet'!B98</f>
        <v>-243</v>
      </c>
      <c r="D21" s="42">
        <f>'Data Sheet'!C98</f>
        <v>-162</v>
      </c>
      <c r="E21" s="42">
        <f>'Data Sheet'!D98</f>
        <v>-122</v>
      </c>
      <c r="F21" s="42">
        <f>'Data Sheet'!E98</f>
        <v>-269</v>
      </c>
      <c r="G21" s="42">
        <f>'Data Sheet'!F98</f>
        <v>-293</v>
      </c>
      <c r="H21" s="42">
        <f>'Data Sheet'!G98</f>
        <v>-293</v>
      </c>
      <c r="I21" s="42">
        <f>'Data Sheet'!H98</f>
        <v>-435</v>
      </c>
      <c r="J21" s="42">
        <f>'Data Sheet'!I98</f>
        <v>-186</v>
      </c>
      <c r="K21" s="42">
        <f>'Data Sheet'!J98</f>
        <v>-774</v>
      </c>
      <c r="L21" s="42">
        <f>'Data Sheet'!K98</f>
        <v>-748</v>
      </c>
    </row>
    <row r="22" spans="2:12" x14ac:dyDescent="0.3">
      <c r="B22" s="54" t="str">
        <f>'Data Sheet'!A99</f>
        <v>Fixed assets sold</v>
      </c>
      <c r="C22" s="42">
        <f>'Data Sheet'!B99</f>
        <v>1</v>
      </c>
      <c r="D22" s="42">
        <f>'Data Sheet'!C99</f>
        <v>1</v>
      </c>
      <c r="E22" s="42">
        <f>'Data Sheet'!D99</f>
        <v>4</v>
      </c>
      <c r="F22" s="42">
        <f>'Data Sheet'!E99</f>
        <v>4</v>
      </c>
      <c r="G22" s="42">
        <f>'Data Sheet'!F99</f>
        <v>3</v>
      </c>
      <c r="H22" s="42">
        <f>'Data Sheet'!G99</f>
        <v>2</v>
      </c>
      <c r="I22" s="42">
        <f>'Data Sheet'!H99</f>
        <v>4</v>
      </c>
      <c r="J22" s="42">
        <f>'Data Sheet'!I99</f>
        <v>1</v>
      </c>
      <c r="K22" s="42">
        <f>'Data Sheet'!J99</f>
        <v>14</v>
      </c>
      <c r="L22" s="42">
        <f>'Data Sheet'!K99</f>
        <v>4</v>
      </c>
    </row>
    <row r="23" spans="2:12" x14ac:dyDescent="0.3">
      <c r="B23" s="54" t="str">
        <f>'Data Sheet'!A100</f>
        <v>Investments purchased</v>
      </c>
      <c r="C23" s="42">
        <f>'Data Sheet'!B100</f>
        <v>-90</v>
      </c>
      <c r="D23" s="42">
        <f>'Data Sheet'!C100</f>
        <v>-758</v>
      </c>
      <c r="E23" s="42">
        <f>'Data Sheet'!D100</f>
        <v>-148</v>
      </c>
      <c r="F23" s="42">
        <f>'Data Sheet'!E100</f>
        <v>-4094</v>
      </c>
      <c r="G23" s="42">
        <f>'Data Sheet'!F100</f>
        <v>-1988</v>
      </c>
      <c r="H23" s="42">
        <f>'Data Sheet'!G100</f>
        <v>-2130</v>
      </c>
      <c r="I23" s="42">
        <f>'Data Sheet'!H100</f>
        <v>-3208</v>
      </c>
      <c r="J23" s="42">
        <f>'Data Sheet'!I100</f>
        <v>-890</v>
      </c>
      <c r="K23" s="42">
        <f>'Data Sheet'!J100</f>
        <v>-1063</v>
      </c>
      <c r="L23" s="42">
        <f>'Data Sheet'!K100</f>
        <v>-751</v>
      </c>
    </row>
    <row r="24" spans="2:12" x14ac:dyDescent="0.3">
      <c r="B24" s="54" t="str">
        <f>'Data Sheet'!A101</f>
        <v>Investments sold</v>
      </c>
      <c r="C24" s="42">
        <f>'Data Sheet'!B101</f>
        <v>11</v>
      </c>
      <c r="D24" s="42">
        <f>'Data Sheet'!C101</f>
        <v>720</v>
      </c>
      <c r="E24" s="42">
        <f>'Data Sheet'!D101</f>
        <v>0</v>
      </c>
      <c r="F24" s="42">
        <f>'Data Sheet'!E101</f>
        <v>4056</v>
      </c>
      <c r="G24" s="42">
        <f>'Data Sheet'!F101</f>
        <v>2150</v>
      </c>
      <c r="H24" s="42">
        <f>'Data Sheet'!G101</f>
        <v>2126</v>
      </c>
      <c r="I24" s="42">
        <f>'Data Sheet'!H101</f>
        <v>3297</v>
      </c>
      <c r="J24" s="42">
        <f>'Data Sheet'!I101</f>
        <v>869</v>
      </c>
      <c r="K24" s="42">
        <f>'Data Sheet'!J101</f>
        <v>1193</v>
      </c>
      <c r="L24" s="42">
        <f>'Data Sheet'!K101</f>
        <v>788</v>
      </c>
    </row>
    <row r="25" spans="2:12" x14ac:dyDescent="0.3">
      <c r="B25" s="54" t="str">
        <f>'Data Sheet'!A102</f>
        <v>Interest received</v>
      </c>
      <c r="C25" s="42">
        <f>'Data Sheet'!B102</f>
        <v>21</v>
      </c>
      <c r="D25" s="42">
        <f>'Data Sheet'!C102</f>
        <v>15</v>
      </c>
      <c r="E25" s="42">
        <f>'Data Sheet'!D102</f>
        <v>12</v>
      </c>
      <c r="F25" s="42">
        <f>'Data Sheet'!E102</f>
        <v>5</v>
      </c>
      <c r="G25" s="42">
        <f>'Data Sheet'!F102</f>
        <v>6</v>
      </c>
      <c r="H25" s="42">
        <f>'Data Sheet'!G102</f>
        <v>18</v>
      </c>
      <c r="I25" s="42">
        <f>'Data Sheet'!H102</f>
        <v>17</v>
      </c>
      <c r="J25" s="42">
        <f>'Data Sheet'!I102</f>
        <v>14</v>
      </c>
      <c r="K25" s="42">
        <f>'Data Sheet'!J102</f>
        <v>23</v>
      </c>
      <c r="L25" s="42">
        <f>'Data Sheet'!K102</f>
        <v>13</v>
      </c>
    </row>
    <row r="26" spans="2:12" x14ac:dyDescent="0.3">
      <c r="B26" s="54" t="str">
        <f>'Data Sheet'!A103</f>
        <v>Dividends received</v>
      </c>
      <c r="C26" s="42">
        <f>'Data Sheet'!B103</f>
        <v>0</v>
      </c>
      <c r="D26" s="42">
        <f>'Data Sheet'!C103</f>
        <v>0</v>
      </c>
      <c r="E26" s="42">
        <f>'Data Sheet'!D103</f>
        <v>0</v>
      </c>
      <c r="F26" s="42">
        <f>'Data Sheet'!E103</f>
        <v>0</v>
      </c>
      <c r="G26" s="42">
        <f>'Data Sheet'!F103</f>
        <v>0</v>
      </c>
      <c r="H26" s="42">
        <f>'Data Sheet'!G103</f>
        <v>0</v>
      </c>
      <c r="I26" s="42">
        <f>'Data Sheet'!H103</f>
        <v>0</v>
      </c>
      <c r="J26" s="42">
        <f>'Data Sheet'!I103</f>
        <v>4</v>
      </c>
      <c r="K26" s="42">
        <f>'Data Sheet'!J103</f>
        <v>3</v>
      </c>
      <c r="L26" s="42">
        <f>'Data Sheet'!K103</f>
        <v>4</v>
      </c>
    </row>
    <row r="27" spans="2:12" x14ac:dyDescent="0.3">
      <c r="B27" s="54" t="str">
        <f>'Data Sheet'!A104</f>
        <v>Invest in subsidiaries</v>
      </c>
      <c r="C27" s="42">
        <f>'Data Sheet'!B104</f>
        <v>-1</v>
      </c>
      <c r="D27" s="42">
        <f>'Data Sheet'!C104</f>
        <v>0</v>
      </c>
      <c r="E27" s="42">
        <f>'Data Sheet'!D104</f>
        <v>0</v>
      </c>
      <c r="F27" s="42">
        <f>'Data Sheet'!E104</f>
        <v>0</v>
      </c>
      <c r="G27" s="42">
        <f>'Data Sheet'!F104</f>
        <v>0</v>
      </c>
      <c r="H27" s="42">
        <f>'Data Sheet'!G104</f>
        <v>0</v>
      </c>
      <c r="I27" s="42">
        <f>'Data Sheet'!H104</f>
        <v>0</v>
      </c>
      <c r="J27" s="42">
        <f>'Data Sheet'!I104</f>
        <v>0</v>
      </c>
      <c r="K27" s="42">
        <f>'Data Sheet'!J104</f>
        <v>0</v>
      </c>
      <c r="L27" s="42">
        <f>'Data Sheet'!K104</f>
        <v>0</v>
      </c>
    </row>
    <row r="28" spans="2:12" x14ac:dyDescent="0.3">
      <c r="B28" s="54" t="str">
        <f>'Data Sheet'!A105</f>
        <v>Investment in group cos</v>
      </c>
      <c r="C28" s="42">
        <f>'Data Sheet'!B105</f>
        <v>0</v>
      </c>
      <c r="D28" s="42">
        <f>'Data Sheet'!C105</f>
        <v>0</v>
      </c>
      <c r="E28" s="42">
        <f>'Data Sheet'!D105</f>
        <v>-6</v>
      </c>
      <c r="F28" s="42">
        <f>'Data Sheet'!E105</f>
        <v>-57</v>
      </c>
      <c r="G28" s="42">
        <f>'Data Sheet'!F105</f>
        <v>0</v>
      </c>
      <c r="H28" s="42">
        <f>'Data Sheet'!G105</f>
        <v>0</v>
      </c>
      <c r="I28" s="42">
        <f>'Data Sheet'!H105</f>
        <v>0</v>
      </c>
      <c r="J28" s="42">
        <f>'Data Sheet'!I105</f>
        <v>-20</v>
      </c>
      <c r="K28" s="42">
        <f>'Data Sheet'!J105</f>
        <v>0</v>
      </c>
      <c r="L28" s="42">
        <f>'Data Sheet'!K105</f>
        <v>0</v>
      </c>
    </row>
    <row r="29" spans="2:12" x14ac:dyDescent="0.3">
      <c r="B29" s="54" t="str">
        <f>'Data Sheet'!A106</f>
        <v>Redemp n Canc of Shares</v>
      </c>
      <c r="C29" s="42">
        <f>'Data Sheet'!B106</f>
        <v>0</v>
      </c>
      <c r="D29" s="42">
        <f>'Data Sheet'!C106</f>
        <v>0</v>
      </c>
      <c r="E29" s="42">
        <f>'Data Sheet'!D106</f>
        <v>0</v>
      </c>
      <c r="F29" s="42">
        <f>'Data Sheet'!E106</f>
        <v>0</v>
      </c>
      <c r="G29" s="42">
        <f>'Data Sheet'!F106</f>
        <v>2</v>
      </c>
      <c r="H29" s="42">
        <f>'Data Sheet'!G106</f>
        <v>0</v>
      </c>
      <c r="I29" s="42">
        <f>'Data Sheet'!H106</f>
        <v>0</v>
      </c>
      <c r="J29" s="42">
        <f>'Data Sheet'!I106</f>
        <v>0</v>
      </c>
      <c r="K29" s="42">
        <f>'Data Sheet'!J106</f>
        <v>0</v>
      </c>
      <c r="L29" s="42">
        <f>'Data Sheet'!K106</f>
        <v>0</v>
      </c>
    </row>
    <row r="30" spans="2:12" x14ac:dyDescent="0.3">
      <c r="B30" s="54" t="str">
        <f>'Data Sheet'!A107</f>
        <v>Acquisition of companies</v>
      </c>
      <c r="C30" s="42">
        <f>'Data Sheet'!B107</f>
        <v>0</v>
      </c>
      <c r="D30" s="42">
        <f>'Data Sheet'!C107</f>
        <v>0</v>
      </c>
      <c r="E30" s="42">
        <f>'Data Sheet'!D107</f>
        <v>0</v>
      </c>
      <c r="F30" s="42">
        <f>'Data Sheet'!E107</f>
        <v>0</v>
      </c>
      <c r="G30" s="42">
        <f>'Data Sheet'!F107</f>
        <v>0</v>
      </c>
      <c r="H30" s="42">
        <f>'Data Sheet'!G107</f>
        <v>-41</v>
      </c>
      <c r="I30" s="42">
        <f>'Data Sheet'!H107</f>
        <v>0</v>
      </c>
      <c r="J30" s="42">
        <f>'Data Sheet'!I107</f>
        <v>0</v>
      </c>
      <c r="K30" s="42">
        <f>'Data Sheet'!J107</f>
        <v>0</v>
      </c>
      <c r="L30" s="42">
        <f>'Data Sheet'!K107</f>
        <v>0</v>
      </c>
    </row>
    <row r="31" spans="2:12" x14ac:dyDescent="0.3">
      <c r="B31" s="54" t="str">
        <f>'Data Sheet'!A108</f>
        <v>Other investing items</v>
      </c>
      <c r="C31" s="42">
        <f>'Data Sheet'!B108</f>
        <v>0</v>
      </c>
      <c r="D31" s="42">
        <f>'Data Sheet'!C108</f>
        <v>0</v>
      </c>
      <c r="E31" s="42">
        <f>'Data Sheet'!D108</f>
        <v>0</v>
      </c>
      <c r="F31" s="42">
        <f>'Data Sheet'!E108</f>
        <v>46</v>
      </c>
      <c r="G31" s="42">
        <f>'Data Sheet'!F108</f>
        <v>-63</v>
      </c>
      <c r="H31" s="42">
        <f>'Data Sheet'!G108</f>
        <v>-61</v>
      </c>
      <c r="I31" s="42">
        <f>'Data Sheet'!H108</f>
        <v>102</v>
      </c>
      <c r="J31" s="42">
        <f>'Data Sheet'!I108</f>
        <v>-250</v>
      </c>
      <c r="K31" s="42">
        <f>'Data Sheet'!J108</f>
        <v>83</v>
      </c>
      <c r="L31" s="42">
        <f>'Data Sheet'!K108</f>
        <v>90</v>
      </c>
    </row>
    <row r="32" spans="2:12" ht="15" thickBot="1" x14ac:dyDescent="0.35">
      <c r="B32" s="53" t="s">
        <v>113</v>
      </c>
      <c r="C32" s="45">
        <f>SUM(C21:C31)</f>
        <v>-301</v>
      </c>
      <c r="D32" s="45">
        <f t="shared" ref="D32:L32" si="1">SUM(D21:D31)</f>
        <v>-184</v>
      </c>
      <c r="E32" s="45">
        <f t="shared" si="1"/>
        <v>-260</v>
      </c>
      <c r="F32" s="45">
        <f t="shared" si="1"/>
        <v>-309</v>
      </c>
      <c r="G32" s="45">
        <f t="shared" si="1"/>
        <v>-183</v>
      </c>
      <c r="H32" s="45">
        <f t="shared" si="1"/>
        <v>-379</v>
      </c>
      <c r="I32" s="45">
        <f t="shared" si="1"/>
        <v>-223</v>
      </c>
      <c r="J32" s="45">
        <f t="shared" si="1"/>
        <v>-458</v>
      </c>
      <c r="K32" s="45">
        <f t="shared" si="1"/>
        <v>-521</v>
      </c>
      <c r="L32" s="45">
        <f t="shared" si="1"/>
        <v>-600</v>
      </c>
    </row>
    <row r="33" spans="2:12" ht="15" thickTop="1" x14ac:dyDescent="0.3">
      <c r="C33" s="42"/>
      <c r="D33" s="42"/>
      <c r="E33" s="42"/>
      <c r="F33" s="42"/>
      <c r="G33" s="42"/>
      <c r="H33" s="42"/>
      <c r="I33" s="42"/>
      <c r="J33" s="42"/>
      <c r="K33" s="42"/>
      <c r="L33" s="42"/>
    </row>
    <row r="34" spans="2:12" x14ac:dyDescent="0.3">
      <c r="B34" s="9" t="s">
        <v>114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</row>
    <row r="35" spans="2:12" x14ac:dyDescent="0.3">
      <c r="B35" s="54" t="str">
        <f>'Data Sheet'!A110</f>
        <v>Proceeds from shares</v>
      </c>
      <c r="C35" s="42">
        <f>'Data Sheet'!B110</f>
        <v>0</v>
      </c>
      <c r="D35" s="42">
        <f>'Data Sheet'!C110</f>
        <v>0</v>
      </c>
      <c r="E35" s="42">
        <f>'Data Sheet'!D110</f>
        <v>0</v>
      </c>
      <c r="F35" s="42">
        <f>'Data Sheet'!E110</f>
        <v>0</v>
      </c>
      <c r="G35" s="42">
        <f>'Data Sheet'!F110</f>
        <v>0</v>
      </c>
      <c r="H35" s="42">
        <f>'Data Sheet'!G110</f>
        <v>0</v>
      </c>
      <c r="I35" s="42">
        <f>'Data Sheet'!H110</f>
        <v>0</v>
      </c>
      <c r="J35" s="42">
        <f>'Data Sheet'!I110</f>
        <v>0</v>
      </c>
      <c r="K35" s="42">
        <f>'Data Sheet'!J110</f>
        <v>0</v>
      </c>
      <c r="L35" s="42">
        <f>'Data Sheet'!K110</f>
        <v>0</v>
      </c>
    </row>
    <row r="36" spans="2:12" x14ac:dyDescent="0.3">
      <c r="B36" s="54" t="str">
        <f>'Data Sheet'!A111</f>
        <v>Proceeds from borrowings</v>
      </c>
      <c r="C36" s="42">
        <f>'Data Sheet'!B111</f>
        <v>96</v>
      </c>
      <c r="D36" s="42">
        <f>'Data Sheet'!C111</f>
        <v>10</v>
      </c>
      <c r="E36" s="42">
        <f>'Data Sheet'!D111</f>
        <v>0</v>
      </c>
      <c r="F36" s="42">
        <f>'Data Sheet'!E111</f>
        <v>1131</v>
      </c>
      <c r="G36" s="42">
        <f>'Data Sheet'!F111</f>
        <v>2578</v>
      </c>
      <c r="H36" s="42">
        <f>'Data Sheet'!G111</f>
        <v>3242</v>
      </c>
      <c r="I36" s="42">
        <f>'Data Sheet'!H111</f>
        <v>3538</v>
      </c>
      <c r="J36" s="42">
        <f>'Data Sheet'!I111</f>
        <v>1457</v>
      </c>
      <c r="K36" s="42">
        <f>'Data Sheet'!J111</f>
        <v>3108</v>
      </c>
      <c r="L36" s="42">
        <f>'Data Sheet'!K111</f>
        <v>8414</v>
      </c>
    </row>
    <row r="37" spans="2:12" x14ac:dyDescent="0.3">
      <c r="B37" s="54" t="str">
        <f>'Data Sheet'!A112</f>
        <v>Repayment of borrowings</v>
      </c>
      <c r="C37" s="42">
        <f>'Data Sheet'!B112</f>
        <v>-43</v>
      </c>
      <c r="D37" s="42">
        <f>'Data Sheet'!C112</f>
        <v>-24</v>
      </c>
      <c r="E37" s="42">
        <f>'Data Sheet'!D112</f>
        <v>-232</v>
      </c>
      <c r="F37" s="42">
        <f>'Data Sheet'!E112</f>
        <v>-1053</v>
      </c>
      <c r="G37" s="42">
        <f>'Data Sheet'!F112</f>
        <v>-2659</v>
      </c>
      <c r="H37" s="42">
        <f>'Data Sheet'!G112</f>
        <v>-3123</v>
      </c>
      <c r="I37" s="42">
        <f>'Data Sheet'!H112</f>
        <v>-3437</v>
      </c>
      <c r="J37" s="42">
        <f>'Data Sheet'!I112</f>
        <v>-1582</v>
      </c>
      <c r="K37" s="42">
        <f>'Data Sheet'!J112</f>
        <v>-2822</v>
      </c>
      <c r="L37" s="42">
        <f>'Data Sheet'!K112</f>
        <v>-8314</v>
      </c>
    </row>
    <row r="38" spans="2:12" x14ac:dyDescent="0.3">
      <c r="B38" s="54" t="str">
        <f>'Data Sheet'!A113</f>
        <v>Interest paid fin</v>
      </c>
      <c r="C38" s="42">
        <f>'Data Sheet'!B113</f>
        <v>-42</v>
      </c>
      <c r="D38" s="42">
        <f>'Data Sheet'!C113</f>
        <v>-45</v>
      </c>
      <c r="E38" s="42">
        <f>'Data Sheet'!D113</f>
        <v>-27</v>
      </c>
      <c r="F38" s="42">
        <f>'Data Sheet'!E113</f>
        <v>-16</v>
      </c>
      <c r="G38" s="42">
        <f>'Data Sheet'!F113</f>
        <v>-25</v>
      </c>
      <c r="H38" s="42">
        <f>'Data Sheet'!G113</f>
        <v>-30</v>
      </c>
      <c r="I38" s="42">
        <f>'Data Sheet'!H113</f>
        <v>-31</v>
      </c>
      <c r="J38" s="42">
        <f>'Data Sheet'!I113</f>
        <v>-25</v>
      </c>
      <c r="K38" s="42">
        <f>'Data Sheet'!J113</f>
        <v>-23</v>
      </c>
      <c r="L38" s="42">
        <f>'Data Sheet'!K113</f>
        <v>-61</v>
      </c>
    </row>
    <row r="39" spans="2:12" x14ac:dyDescent="0.3">
      <c r="B39" s="54" t="str">
        <f>'Data Sheet'!A114</f>
        <v>Dividends paid</v>
      </c>
      <c r="C39" s="42">
        <f>'Data Sheet'!B114</f>
        <v>-62</v>
      </c>
      <c r="D39" s="42">
        <f>'Data Sheet'!C114</f>
        <v>-138</v>
      </c>
      <c r="E39" s="42">
        <f>'Data Sheet'!D114</f>
        <v>-108</v>
      </c>
      <c r="F39" s="42">
        <f>'Data Sheet'!E114</f>
        <v>-117</v>
      </c>
      <c r="G39" s="42">
        <f>'Data Sheet'!F114</f>
        <v>-205</v>
      </c>
      <c r="H39" s="42">
        <f>'Data Sheet'!G114</f>
        <v>-211</v>
      </c>
      <c r="I39" s="42">
        <f>'Data Sheet'!H114</f>
        <v>-382</v>
      </c>
      <c r="J39" s="42">
        <f>'Data Sheet'!I114</f>
        <v>-29</v>
      </c>
      <c r="K39" s="42">
        <f>'Data Sheet'!J114</f>
        <v>-272</v>
      </c>
      <c r="L39" s="42">
        <f>'Data Sheet'!K114</f>
        <v>-301</v>
      </c>
    </row>
    <row r="40" spans="2:12" x14ac:dyDescent="0.3">
      <c r="B40" s="54" t="str">
        <f>'Data Sheet'!A115</f>
        <v>Financial liabilities</v>
      </c>
      <c r="C40" s="42">
        <f>'Data Sheet'!B115</f>
        <v>0</v>
      </c>
      <c r="D40" s="42">
        <f>'Data Sheet'!C115</f>
        <v>0</v>
      </c>
      <c r="E40" s="42">
        <f>'Data Sheet'!D115</f>
        <v>0</v>
      </c>
      <c r="F40" s="42">
        <f>'Data Sheet'!E115</f>
        <v>0</v>
      </c>
      <c r="G40" s="42">
        <f>'Data Sheet'!F115</f>
        <v>0</v>
      </c>
      <c r="H40" s="42">
        <f>'Data Sheet'!G115</f>
        <v>-80</v>
      </c>
      <c r="I40" s="42">
        <f>'Data Sheet'!H115</f>
        <v>-118</v>
      </c>
      <c r="J40" s="42">
        <f>'Data Sheet'!I115</f>
        <v>-75</v>
      </c>
      <c r="K40" s="42">
        <f>'Data Sheet'!J115</f>
        <v>-76</v>
      </c>
      <c r="L40" s="42">
        <f>'Data Sheet'!K115</f>
        <v>-100</v>
      </c>
    </row>
    <row r="41" spans="2:12" x14ac:dyDescent="0.3">
      <c r="B41" s="54" t="str">
        <f>'Data Sheet'!A116</f>
        <v>Other financing items</v>
      </c>
      <c r="C41" s="42">
        <f>'Data Sheet'!B116</f>
        <v>0</v>
      </c>
      <c r="D41" s="42">
        <f>'Data Sheet'!C116</f>
        <v>0</v>
      </c>
      <c r="E41" s="42">
        <f>'Data Sheet'!D116</f>
        <v>0</v>
      </c>
      <c r="F41" s="42">
        <f>'Data Sheet'!E116</f>
        <v>-27</v>
      </c>
      <c r="G41" s="42">
        <f>'Data Sheet'!F116</f>
        <v>110</v>
      </c>
      <c r="H41" s="42">
        <f>'Data Sheet'!G116</f>
        <v>-57</v>
      </c>
      <c r="I41" s="42">
        <f>'Data Sheet'!H116</f>
        <v>-49</v>
      </c>
      <c r="J41" s="42">
        <f>'Data Sheet'!I116</f>
        <v>-26</v>
      </c>
      <c r="K41" s="42">
        <f>'Data Sheet'!J116</f>
        <v>6</v>
      </c>
      <c r="L41" s="42">
        <f>'Data Sheet'!K116</f>
        <v>0</v>
      </c>
    </row>
    <row r="42" spans="2:12" ht="15" thickBot="1" x14ac:dyDescent="0.35">
      <c r="B42" s="58" t="s">
        <v>115</v>
      </c>
      <c r="C42" s="45">
        <f>SUM(C35:C41)</f>
        <v>-51</v>
      </c>
      <c r="D42" s="45">
        <f t="shared" ref="D42:L42" si="2">SUM(D35:D41)</f>
        <v>-197</v>
      </c>
      <c r="E42" s="45">
        <f t="shared" si="2"/>
        <v>-367</v>
      </c>
      <c r="F42" s="45">
        <f t="shared" si="2"/>
        <v>-82</v>
      </c>
      <c r="G42" s="45">
        <f t="shared" si="2"/>
        <v>-201</v>
      </c>
      <c r="H42" s="45">
        <f t="shared" si="2"/>
        <v>-259</v>
      </c>
      <c r="I42" s="45">
        <f t="shared" si="2"/>
        <v>-479</v>
      </c>
      <c r="J42" s="45">
        <f t="shared" si="2"/>
        <v>-280</v>
      </c>
      <c r="K42" s="45">
        <f t="shared" si="2"/>
        <v>-79</v>
      </c>
      <c r="L42" s="45">
        <f t="shared" si="2"/>
        <v>-362</v>
      </c>
    </row>
    <row r="43" spans="2:12" ht="15" thickTop="1" x14ac:dyDescent="0.3">
      <c r="B43" s="51"/>
      <c r="C43" s="42"/>
      <c r="D43" s="42"/>
      <c r="E43" s="42"/>
      <c r="F43" s="42"/>
      <c r="G43" s="42"/>
      <c r="H43" s="42"/>
      <c r="I43" s="42"/>
      <c r="J43" s="42"/>
      <c r="K43" s="42"/>
      <c r="L43" s="42"/>
    </row>
    <row r="44" spans="2:12" x14ac:dyDescent="0.3">
      <c r="B44" s="55" t="s">
        <v>20</v>
      </c>
      <c r="C44" s="42">
        <f>SUM(C18,C32,C42)</f>
        <v>-67</v>
      </c>
      <c r="D44" s="42">
        <f t="shared" ref="D44:L44" si="3">SUM(D18,D32,D42)</f>
        <v>44</v>
      </c>
      <c r="E44" s="42">
        <f t="shared" si="3"/>
        <v>82</v>
      </c>
      <c r="F44" s="42">
        <f t="shared" si="3"/>
        <v>-124</v>
      </c>
      <c r="G44" s="42">
        <f t="shared" si="3"/>
        <v>-90</v>
      </c>
      <c r="H44" s="42">
        <f t="shared" si="3"/>
        <v>-118</v>
      </c>
      <c r="I44" s="42">
        <f t="shared" si="3"/>
        <v>-79</v>
      </c>
      <c r="J44" s="42">
        <f t="shared" si="3"/>
        <v>-111</v>
      </c>
      <c r="K44" s="42">
        <f t="shared" si="3"/>
        <v>-523</v>
      </c>
      <c r="L44" s="42">
        <f t="shared" si="3"/>
        <v>-244</v>
      </c>
    </row>
  </sheetData>
  <mergeCells count="1">
    <mergeCell ref="B6:L6"/>
  </mergeCells>
  <pageMargins left="0.7" right="0.7" top="0.75" bottom="0.75" header="0.3" footer="0.3"/>
  <pageSetup scale="7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3633-E455-4306-A4F0-3827A68BE566}">
  <dimension ref="B6:O45"/>
  <sheetViews>
    <sheetView showGridLines="0" topLeftCell="B1" workbookViewId="0">
      <pane ySplit="7" topLeftCell="A8" activePane="bottomLeft" state="frozen"/>
      <selection pane="bottomLeft" activeCell="B6" sqref="B6:L7"/>
    </sheetView>
  </sheetViews>
  <sheetFormatPr defaultRowHeight="14.4" x14ac:dyDescent="0.3"/>
  <cols>
    <col min="1" max="1" width="1.88671875" customWidth="1"/>
    <col min="2" max="2" width="31.21875" customWidth="1"/>
    <col min="3" max="12" width="13.77734375" customWidth="1"/>
  </cols>
  <sheetData>
    <row r="6" spans="2:15" x14ac:dyDescent="0.3">
      <c r="B6" s="142" t="str">
        <f>"Historical Data of " &amp;'Data Sheet'!$B$1</f>
        <v>Historical Data of BERGER PAINTS INDIA LTD</v>
      </c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3"/>
      <c r="N6" s="13"/>
      <c r="O6" s="13"/>
    </row>
    <row r="7" spans="2:15" x14ac:dyDescent="0.3">
      <c r="B7" s="19" t="s">
        <v>54</v>
      </c>
      <c r="C7" s="13">
        <f>'Data Sheet'!B16</f>
        <v>42460</v>
      </c>
      <c r="D7" s="13">
        <f>'Data Sheet'!C16</f>
        <v>42825</v>
      </c>
      <c r="E7" s="13">
        <f>'Data Sheet'!D16</f>
        <v>43190</v>
      </c>
      <c r="F7" s="13">
        <f>'Data Sheet'!E16</f>
        <v>43555</v>
      </c>
      <c r="G7" s="13">
        <f>'Data Sheet'!F16</f>
        <v>43921</v>
      </c>
      <c r="H7" s="13">
        <f>'Data Sheet'!G16</f>
        <v>44286</v>
      </c>
      <c r="I7" s="13">
        <f>'Data Sheet'!H16</f>
        <v>44651</v>
      </c>
      <c r="J7" s="13">
        <f>'Data Sheet'!I16</f>
        <v>45016</v>
      </c>
      <c r="K7" s="13">
        <f>'Data Sheet'!J16</f>
        <v>45382</v>
      </c>
      <c r="L7" s="13">
        <f>'Data Sheet'!K16</f>
        <v>45747</v>
      </c>
      <c r="M7" s="13" t="s">
        <v>147</v>
      </c>
      <c r="N7" s="13" t="s">
        <v>148</v>
      </c>
      <c r="O7" s="13" t="s">
        <v>149</v>
      </c>
    </row>
    <row r="9" spans="2:15" x14ac:dyDescent="0.3">
      <c r="B9" s="11" t="s">
        <v>58</v>
      </c>
      <c r="C9" s="59">
        <f>'Income Statement'!D11</f>
        <v>0</v>
      </c>
      <c r="D9" s="60">
        <f>'Income Statement'!E11</f>
        <v>7.7940375553503305E-2</v>
      </c>
      <c r="E9" s="60">
        <f>'Income Statement'!F11</f>
        <v>0.13476412762919421</v>
      </c>
      <c r="F9" s="60">
        <f>'Income Statement'!G11</f>
        <v>0.17347596564280376</v>
      </c>
      <c r="G9" s="60">
        <f>'Income Statement'!H11</f>
        <v>5.0143025408043052E-2</v>
      </c>
      <c r="H9" s="60">
        <f>'Income Statement'!I11</f>
        <v>7.0968076382932566E-2</v>
      </c>
      <c r="I9" s="60">
        <f>'Income Statement'!J11</f>
        <v>0.28517261965005236</v>
      </c>
      <c r="J9" s="60">
        <f>'Income Statement'!K11</f>
        <v>0.2061293481461528</v>
      </c>
      <c r="K9" s="60">
        <f>'Income Statement'!L11</f>
        <v>5.9717028266892846E-2</v>
      </c>
      <c r="L9" s="60">
        <f>'Income Statement'!M11</f>
        <v>3.0877084576012681E-2</v>
      </c>
      <c r="M9" s="11"/>
      <c r="N9" s="62">
        <f>IFERROR(AVERAGE(D9:L9), "")</f>
        <v>0.12102085013950974</v>
      </c>
      <c r="O9" s="62">
        <f>MEDIAN(D9:L9)</f>
        <v>7.7940375553503305E-2</v>
      </c>
    </row>
    <row r="10" spans="2:15" x14ac:dyDescent="0.3">
      <c r="B10" s="11" t="s">
        <v>116</v>
      </c>
      <c r="C10" s="61" t="str">
        <f>IFERROR('Income Statement'!D22/'Income Statement'!B22-1, "-")</f>
        <v>-</v>
      </c>
      <c r="D10" s="61">
        <f>'Income Statement'!E22/'Income Statement'!D22-1</f>
        <v>0.11687166648525094</v>
      </c>
      <c r="E10" s="61">
        <f>'Income Statement'!F22/'Income Statement'!E22-1</f>
        <v>0.13447425614236752</v>
      </c>
      <c r="F10" s="61">
        <f>'Income Statement'!G22/'Income Statement'!F22-1</f>
        <v>0.15424595163438015</v>
      </c>
      <c r="G10" s="61">
        <f>'Income Statement'!H22/'Income Statement'!G22-1</f>
        <v>0.12072045251562979</v>
      </c>
      <c r="H10" s="61">
        <f>'Income Statement'!I22/'Income Statement'!H22-1</f>
        <v>0.10776995616947826</v>
      </c>
      <c r="I10" s="61">
        <f>'Income Statement'!J22/'Income Statement'!I22-1</f>
        <v>0.1239029303150927</v>
      </c>
      <c r="J10" s="61">
        <f>'Income Statement'!K22/'Income Statement'!J22-1</f>
        <v>0.11350252832362528</v>
      </c>
      <c r="K10" s="61">
        <f>'Income Statement'!L22/'Income Statement'!K22-1</f>
        <v>0.23349859883595636</v>
      </c>
      <c r="L10" s="61">
        <f>'Income Statement'!M22/'Income Statement'!L22-1</f>
        <v>3.824092520747624E-2</v>
      </c>
      <c r="M10" s="11"/>
      <c r="N10" s="62">
        <f t="shared" ref="N10:N44" si="0">IFERROR(AVERAGE(D10:L10), "")</f>
        <v>0.12702525173658413</v>
      </c>
      <c r="O10" s="62">
        <f t="shared" ref="O10:O13" si="1">MEDIAN(D10:L10)</f>
        <v>0.12072045251562979</v>
      </c>
    </row>
    <row r="11" spans="2:15" x14ac:dyDescent="0.3">
      <c r="B11" s="11" t="s">
        <v>117</v>
      </c>
      <c r="C11" s="61" t="str">
        <f>IFERROR('Income Statement'!D23/'Income Statement'!B23-1, "-")</f>
        <v>-</v>
      </c>
      <c r="D11" s="62">
        <f>'Income Statement'!E28/'Income Statement'!D28 - 1</f>
        <v>0.11946832510212801</v>
      </c>
      <c r="E11" s="62">
        <f>'Income Statement'!F28/'Income Statement'!E28 - 1</f>
        <v>0.13269863401668691</v>
      </c>
      <c r="F11" s="62">
        <f>'Income Statement'!G28/'Income Statement'!F28 - 1</f>
        <v>0.11683528235113116</v>
      </c>
      <c r="G11" s="62">
        <f>'Income Statement'!H28/'Income Statement'!G28 - 1</f>
        <v>0.13214159627323863</v>
      </c>
      <c r="H11" s="62">
        <f>'Income Statement'!I28/'Income Statement'!H28 - 1</f>
        <v>0.10811612500855672</v>
      </c>
      <c r="I11" s="62">
        <f>'Income Statement'!J28/'Income Statement'!I28 - 1</f>
        <v>0.13130945680673167</v>
      </c>
      <c r="J11" s="62">
        <f>'Income Statement'!K28/'Income Statement'!J28 - 1</f>
        <v>0.10633702411648693</v>
      </c>
      <c r="K11" s="62">
        <f>'Income Statement'!L28/'Income Statement'!K28 - 1</f>
        <v>0.23064731947003625</v>
      </c>
      <c r="L11" s="62">
        <f>'Income Statement'!M28/'Income Statement'!L28 - 1</f>
        <v>3.3492119370262419E-2</v>
      </c>
      <c r="M11" s="11"/>
      <c r="N11" s="62">
        <f t="shared" si="0"/>
        <v>0.12344954250169542</v>
      </c>
      <c r="O11" s="62">
        <f t="shared" si="1"/>
        <v>0.11946832510212801</v>
      </c>
    </row>
    <row r="12" spans="2:15" x14ac:dyDescent="0.3">
      <c r="B12" s="11" t="s">
        <v>118</v>
      </c>
      <c r="C12" s="61" t="str">
        <f>IFERROR('Income Statement'!D24/'Income Statement'!B24-1, "-")</f>
        <v>-</v>
      </c>
      <c r="D12" s="62">
        <f>'Income Statement'!E40/'Income Statement'!D40 - 1</f>
        <v>0.11293552925597949</v>
      </c>
      <c r="E12" s="62">
        <f>'Income Statement'!F40/'Income Statement'!E40 - 1</f>
        <v>0.14723816889258901</v>
      </c>
      <c r="F12" s="62">
        <f>'Income Statement'!G40/'Income Statement'!F40 - 1</f>
        <v>9.2613238611320314E-2</v>
      </c>
      <c r="G12" s="62">
        <f>'Income Statement'!H40/'Income Statement'!G40 - 1</f>
        <v>0.23477136280581901</v>
      </c>
      <c r="H12" s="62">
        <f>'Income Statement'!I40/'Income Statement'!H40 - 1</f>
        <v>0.10882203153676917</v>
      </c>
      <c r="I12" s="62">
        <f>'Income Statement'!J40/'Income Statement'!I40 - 1</f>
        <v>0.13367246130648014</v>
      </c>
      <c r="J12" s="62">
        <f>'Income Statement'!K40/'Income Statement'!J40 - 1</f>
        <v>8.7265611264418341E-2</v>
      </c>
      <c r="K12" s="62">
        <f>'Income Statement'!L40/'Income Statement'!K40 - 1</f>
        <v>0.2505993602137313</v>
      </c>
      <c r="L12" s="62">
        <f>'Income Statement'!M40/'Income Statement'!L40 - 1</f>
        <v>5.1467570651959615E-2</v>
      </c>
      <c r="M12" s="11"/>
      <c r="N12" s="62">
        <f t="shared" si="0"/>
        <v>0.13548725939322959</v>
      </c>
      <c r="O12" s="62">
        <f t="shared" si="1"/>
        <v>0.11293552925597949</v>
      </c>
    </row>
    <row r="13" spans="2:15" x14ac:dyDescent="0.3">
      <c r="B13" s="11" t="s">
        <v>119</v>
      </c>
      <c r="C13" s="61" t="str">
        <f>IFERROR('Income Statement'!D25/'Income Statement'!B25-1, "-")</f>
        <v>-</v>
      </c>
      <c r="D13" s="62">
        <f>'Income Statement'!E46/'Income Statement'!D46 - 1</f>
        <v>0.48479784231213441</v>
      </c>
      <c r="E13" s="62">
        <f>'Income Statement'!F46/'Income Statement'!E46 - 1</f>
        <v>2.8601694915254328E-2</v>
      </c>
      <c r="F13" s="62">
        <f>'Income Statement'!G46/'Income Statement'!F46 - 1</f>
        <v>5.5488816429265952E-2</v>
      </c>
      <c r="G13" s="62">
        <f>'Income Statement'!H46/'Income Statement'!G46 - 1</f>
        <v>0.15788666171843246</v>
      </c>
      <c r="H13" s="62">
        <f>'Income Statement'!I46/'Income Statement'!H46 - 1</f>
        <v>0.27275422545431804</v>
      </c>
      <c r="I13" s="62">
        <f>'Income Statement'!J46/'Income Statement'!I46 - 1</f>
        <v>0.10714811001617908</v>
      </c>
      <c r="J13" s="62">
        <f>'Income Statement'!K46/'Income Statement'!J46 - 1</f>
        <v>3.2292705477531047E-2</v>
      </c>
      <c r="K13" s="62">
        <f>'Income Statement'!L46/'Income Statement'!K46 - 1</f>
        <v>0.31251407431236911</v>
      </c>
      <c r="L13" s="62">
        <f>'Income Statement'!M46/'Income Statement'!L46 - 1</f>
        <v>8.5709384534326638E-2</v>
      </c>
      <c r="M13" s="11"/>
      <c r="N13" s="62">
        <f t="shared" si="0"/>
        <v>0.17079927946331233</v>
      </c>
      <c r="O13" s="62">
        <f t="shared" si="1"/>
        <v>0.10714811001617908</v>
      </c>
    </row>
    <row r="14" spans="2:15" x14ac:dyDescent="0.3">
      <c r="M14" s="11"/>
      <c r="N14" s="70" t="str">
        <f t="shared" si="0"/>
        <v/>
      </c>
      <c r="O14" s="69"/>
    </row>
    <row r="15" spans="2:15" x14ac:dyDescent="0.3">
      <c r="B15" s="62" t="s">
        <v>61</v>
      </c>
      <c r="C15" s="61">
        <f>'Income Statement'!D17</f>
        <v>0.32482773318178593</v>
      </c>
      <c r="D15" s="62">
        <f>'Income Statement'!E17</f>
        <v>0.33884123235762542</v>
      </c>
      <c r="E15" s="62">
        <f>'Income Statement'!F17</f>
        <v>0.33347464927512654</v>
      </c>
      <c r="F15" s="61">
        <f>'Income Statement'!G17</f>
        <v>0.30580712850511221</v>
      </c>
      <c r="G15" s="62">
        <f>'Income Statement'!H17</f>
        <v>0.31973414265562017</v>
      </c>
      <c r="H15" s="62">
        <f>'Income Statement'!I17</f>
        <v>0.33424567919162051</v>
      </c>
      <c r="I15" s="61">
        <f>'Income Statement'!J17</f>
        <v>0.28416372015731955</v>
      </c>
      <c r="J15" s="62">
        <f>'Income Statement'!K17</f>
        <v>0.26984984632621234</v>
      </c>
      <c r="K15" s="62">
        <f>'Income Statement'!L17</f>
        <v>0.31396241780457401</v>
      </c>
      <c r="L15" s="61">
        <f>'Income Statement'!M17</f>
        <v>0.32813383792230377</v>
      </c>
      <c r="M15" s="11"/>
      <c r="N15" s="62">
        <f t="shared" si="0"/>
        <v>0.31424585046616832</v>
      </c>
      <c r="O15" s="62">
        <f>IFERROR(MEDIAN(C15:L15), "")</f>
        <v>0.32228093791870305</v>
      </c>
    </row>
    <row r="16" spans="2:15" x14ac:dyDescent="0.3">
      <c r="B16" s="62" t="s">
        <v>120</v>
      </c>
      <c r="C16" s="61">
        <f>'Income Statement'!D23</f>
        <v>0.21754161634818026</v>
      </c>
      <c r="D16" s="62">
        <f>'Income Statement'!E23</f>
        <v>0.2253984293481246</v>
      </c>
      <c r="E16" s="62">
        <f>'Income Statement'!F23</f>
        <v>0.22534085211577054</v>
      </c>
      <c r="F16" s="61">
        <f>'Income Statement'!G23</f>
        <v>0.2216481409996271</v>
      </c>
      <c r="G16" s="62">
        <f>'Income Statement'!H23</f>
        <v>0.23654454571445624</v>
      </c>
      <c r="H16" s="62">
        <f>'Income Statement'!I23</f>
        <v>0.24467297094721155</v>
      </c>
      <c r="I16" s="61">
        <f>'Income Statement'!J23</f>
        <v>0.21397022066292462</v>
      </c>
      <c r="J16" s="62">
        <f>'Income Statement'!K23</f>
        <v>0.19753800208935782</v>
      </c>
      <c r="K16" s="62">
        <f>'Income Statement'!L23</f>
        <v>0.22993199344222476</v>
      </c>
      <c r="L16" s="61">
        <f>'Income Statement'!M23</f>
        <v>0.23157446137668242</v>
      </c>
      <c r="M16" s="11"/>
      <c r="N16" s="62">
        <f t="shared" si="0"/>
        <v>0.22517995741070887</v>
      </c>
      <c r="O16" s="62">
        <f t="shared" ref="O16:O45" si="2">IFERROR(MEDIAN(C16:L16), "")</f>
        <v>0.22536964073194757</v>
      </c>
    </row>
    <row r="17" spans="2:15" x14ac:dyDescent="0.3">
      <c r="B17" s="62" t="s">
        <v>121</v>
      </c>
      <c r="C17" s="61">
        <f>'Income Statement'!D29</f>
        <v>0.19418199900546995</v>
      </c>
      <c r="D17" s="62">
        <f>'Income Statement'!E29</f>
        <v>0.20166291394365429</v>
      </c>
      <c r="E17" s="62">
        <f>'Income Statement'!F29</f>
        <v>0.20129584782789642</v>
      </c>
      <c r="F17" s="61">
        <f>'Income Statement'!G29</f>
        <v>0.19157981213686881</v>
      </c>
      <c r="G17" s="62">
        <f>'Income Statement'!H29</f>
        <v>0.2065389847655133</v>
      </c>
      <c r="H17" s="62">
        <f>'Income Statement'!I29</f>
        <v>0.21370308276091698</v>
      </c>
      <c r="I17" s="61">
        <f>'Income Statement'!J29</f>
        <v>0.18811816776956278</v>
      </c>
      <c r="J17" s="62">
        <f>'Income Statement'!K29</f>
        <v>0.1725537101243016</v>
      </c>
      <c r="K17" s="62">
        <f>'Income Statement'!L29</f>
        <v>0.20038628724912758</v>
      </c>
      <c r="L17" s="61">
        <f>'Income Statement'!M29</f>
        <v>0.20089460887280836</v>
      </c>
      <c r="M17" s="11"/>
      <c r="N17" s="62">
        <f t="shared" si="0"/>
        <v>0.19741482393896109</v>
      </c>
      <c r="O17" s="62">
        <f t="shared" si="2"/>
        <v>0.20064044806096798</v>
      </c>
    </row>
    <row r="18" spans="2:15" x14ac:dyDescent="0.3">
      <c r="B18" s="62" t="s">
        <v>122</v>
      </c>
      <c r="C18" s="61">
        <f>'Income Statement'!D35</f>
        <v>0.18772228931353749</v>
      </c>
      <c r="D18" s="62">
        <f>'Income Statement'!E35</f>
        <v>0.19809984073809658</v>
      </c>
      <c r="E18" s="62">
        <f>'Income Statement'!F35</f>
        <v>0.19654337334703892</v>
      </c>
      <c r="F18" s="61">
        <f>'Income Statement'!G35</f>
        <v>0.18378682450600964</v>
      </c>
      <c r="G18" s="62">
        <f>'Income Statement'!H35</f>
        <v>0.1991495204074259</v>
      </c>
      <c r="H18" s="62">
        <f>'Income Statement'!I35</f>
        <v>0.20723452128978131</v>
      </c>
      <c r="I18" s="61">
        <f>'Income Statement'!J35</f>
        <v>0.18232938969022272</v>
      </c>
      <c r="J18" s="62">
        <f>'Income Statement'!K35</f>
        <v>0.16316390104316486</v>
      </c>
      <c r="K18" s="62">
        <f>'Income Statement'!L35</f>
        <v>0.19339900633275348</v>
      </c>
      <c r="L18" s="61">
        <f>'Income Statement'!M35</f>
        <v>0.19541417670950584</v>
      </c>
      <c r="M18" s="11"/>
      <c r="N18" s="62">
        <f t="shared" si="0"/>
        <v>0.19101339489599992</v>
      </c>
      <c r="O18" s="62">
        <f t="shared" si="2"/>
        <v>0.19440659152112966</v>
      </c>
    </row>
    <row r="19" spans="2:15" x14ac:dyDescent="0.3">
      <c r="B19" s="62" t="s">
        <v>126</v>
      </c>
      <c r="C19" s="61">
        <f>'Income Statement'!D41</f>
        <v>0.14305841680282261</v>
      </c>
      <c r="D19" s="62">
        <f>'Income Statement'!E41</f>
        <v>0.1477027843374156</v>
      </c>
      <c r="E19" s="62">
        <f>'Income Statement'!F41</f>
        <v>0.14932642627469872</v>
      </c>
      <c r="F19" s="61">
        <f>'Income Statement'!G41</f>
        <v>0.13903653334125163</v>
      </c>
      <c r="G19" s="62">
        <f>'Income Statement'!H41</f>
        <v>0.16348090269596061</v>
      </c>
      <c r="H19" s="62">
        <f>'Income Statement'!I41</f>
        <v>0.16925922503406629</v>
      </c>
      <c r="I19" s="61">
        <f>'Income Statement'!J41</f>
        <v>0.14930641947184245</v>
      </c>
      <c r="J19" s="62">
        <f>'Income Statement'!K41</f>
        <v>0.13459231025450794</v>
      </c>
      <c r="K19" s="62">
        <f>'Income Statement'!L41</f>
        <v>0.15883585202858844</v>
      </c>
      <c r="L19" s="61">
        <f>'Income Statement'!M41</f>
        <v>0.16200840038424519</v>
      </c>
      <c r="M19" s="11"/>
      <c r="N19" s="62">
        <f t="shared" si="0"/>
        <v>0.15261653931361965</v>
      </c>
      <c r="O19" s="62">
        <f t="shared" si="2"/>
        <v>0.14931642287327057</v>
      </c>
    </row>
    <row r="20" spans="2:15" x14ac:dyDescent="0.3">
      <c r="M20" s="11"/>
      <c r="N20" s="62" t="str">
        <f t="shared" si="0"/>
        <v/>
      </c>
      <c r="O20" s="62" t="str">
        <f t="shared" si="2"/>
        <v/>
      </c>
    </row>
    <row r="21" spans="2:15" x14ac:dyDescent="0.3">
      <c r="B21" s="62" t="s">
        <v>127</v>
      </c>
      <c r="C21" s="62">
        <f>'Income Statement'!D14</f>
        <v>0.67517226681821407</v>
      </c>
      <c r="D21" s="62">
        <f>'Income Statement'!E14</f>
        <v>0.66115876764237458</v>
      </c>
      <c r="E21" s="62">
        <f>'Income Statement'!F14</f>
        <v>0.6665253507248734</v>
      </c>
      <c r="F21" s="62">
        <f>'Income Statement'!G14</f>
        <v>0.69419287149488784</v>
      </c>
      <c r="G21" s="62">
        <f>'Income Statement'!H14</f>
        <v>0.68026585734437983</v>
      </c>
      <c r="H21" s="62">
        <f>'Income Statement'!I14</f>
        <v>0.66575432080837949</v>
      </c>
      <c r="I21" s="62">
        <f>'Income Statement'!J14</f>
        <v>0.71583627984268039</v>
      </c>
      <c r="J21" s="62">
        <f>'Income Statement'!K14</f>
        <v>0.73015015367378766</v>
      </c>
      <c r="K21" s="62">
        <f>'Income Statement'!L14</f>
        <v>0.68603758219542599</v>
      </c>
      <c r="L21" s="62">
        <f>'Income Statement'!M14</f>
        <v>0.67186616207769623</v>
      </c>
      <c r="M21" s="11"/>
      <c r="N21" s="62">
        <f t="shared" si="0"/>
        <v>0.68575414953383174</v>
      </c>
      <c r="O21" s="62">
        <f t="shared" si="2"/>
        <v>0.67771906208129695</v>
      </c>
    </row>
    <row r="22" spans="2:15" x14ac:dyDescent="0.3">
      <c r="B22" s="62" t="s">
        <v>128</v>
      </c>
      <c r="C22" s="62">
        <f>'Income Statement'!D26</f>
        <v>2.3359617342710332E-2</v>
      </c>
      <c r="D22" s="62">
        <f>'Income Statement'!E26</f>
        <v>2.3735515404470317E-2</v>
      </c>
      <c r="E22" s="62">
        <f>'Income Statement'!F26</f>
        <v>2.4045004287874126E-2</v>
      </c>
      <c r="F22" s="62">
        <f>'Income Statement'!G26</f>
        <v>3.0068328862758297E-2</v>
      </c>
      <c r="G22" s="62">
        <f>'Income Statement'!H26</f>
        <v>3.0005560948942949E-2</v>
      </c>
      <c r="H22" s="62">
        <f>'Income Statement'!I26</f>
        <v>3.0969888186294568E-2</v>
      </c>
      <c r="I22" s="62">
        <f>'Income Statement'!J26</f>
        <v>2.5852052893361847E-2</v>
      </c>
      <c r="J22" s="62">
        <f>'Income Statement'!K26</f>
        <v>2.4984291965056242E-2</v>
      </c>
      <c r="K22" s="62">
        <f>'Income Statement'!L26</f>
        <v>2.9545706193097192E-2</v>
      </c>
      <c r="L22" s="62">
        <f>'Income Statement'!M26</f>
        <v>3.0679852503874071E-2</v>
      </c>
      <c r="M22" s="11"/>
      <c r="N22" s="62">
        <f t="shared" si="0"/>
        <v>2.7765133471747735E-2</v>
      </c>
      <c r="O22" s="62">
        <f t="shared" si="2"/>
        <v>2.769887954322952E-2</v>
      </c>
    </row>
    <row r="23" spans="2:15" x14ac:dyDescent="0.3">
      <c r="B23" s="62" t="s">
        <v>129</v>
      </c>
      <c r="C23" s="62">
        <f>'Income Statement'!D29</f>
        <v>0.19418199900546995</v>
      </c>
      <c r="D23" s="62">
        <f>'Income Statement'!E29</f>
        <v>0.20166291394365429</v>
      </c>
      <c r="E23" s="62">
        <f>'Income Statement'!F29</f>
        <v>0.20129584782789642</v>
      </c>
      <c r="F23" s="62">
        <f>'Income Statement'!G29</f>
        <v>0.19157981213686881</v>
      </c>
      <c r="G23" s="62">
        <f>'Income Statement'!H29</f>
        <v>0.2065389847655133</v>
      </c>
      <c r="H23" s="62">
        <f>'Income Statement'!I29</f>
        <v>0.21370308276091698</v>
      </c>
      <c r="I23" s="62">
        <f>'Income Statement'!J29</f>
        <v>0.18811816776956278</v>
      </c>
      <c r="J23" s="62">
        <f>'Income Statement'!K29</f>
        <v>0.1725537101243016</v>
      </c>
      <c r="K23" s="62">
        <f>'Income Statement'!L29</f>
        <v>0.20038628724912758</v>
      </c>
      <c r="L23" s="62">
        <f>'Income Statement'!M29</f>
        <v>0.20089460887280836</v>
      </c>
      <c r="M23" s="11"/>
      <c r="N23" s="62">
        <f t="shared" si="0"/>
        <v>0.19741482393896109</v>
      </c>
      <c r="O23" s="62">
        <f t="shared" si="2"/>
        <v>0.20064044806096798</v>
      </c>
    </row>
    <row r="24" spans="2:15" x14ac:dyDescent="0.3">
      <c r="M24" s="11"/>
      <c r="N24" s="62" t="str">
        <f t="shared" si="0"/>
        <v/>
      </c>
      <c r="O24" s="62" t="str">
        <f t="shared" si="2"/>
        <v/>
      </c>
    </row>
    <row r="25" spans="2:15" x14ac:dyDescent="0.3">
      <c r="B25" s="62" t="s">
        <v>130</v>
      </c>
      <c r="C25" s="62">
        <f>'Income Statement'!D28/SUM('Balance Sheet'!D10:D12)</f>
        <v>0.42788938168536406</v>
      </c>
      <c r="D25" s="62">
        <f>'Income Statement'!E28/SUM('Balance Sheet'!E10:E12)</f>
        <v>0.39779527422576783</v>
      </c>
      <c r="E25" s="62">
        <f>'Income Statement'!F28/SUM('Balance Sheet'!F10:F12)</f>
        <v>0.39738905789015061</v>
      </c>
      <c r="F25" s="62">
        <f>'Income Statement'!G28/SUM('Balance Sheet'!G10:G12)</f>
        <v>0.36328458590756219</v>
      </c>
      <c r="G25" s="62">
        <f>'Income Statement'!H28/SUM('Balance Sheet'!H10:H12)</f>
        <v>0.38365290061656876</v>
      </c>
      <c r="H25" s="62">
        <f>'Income Statement'!I28/SUM('Balance Sheet'!I10:I12)</f>
        <v>0.36326961100874428</v>
      </c>
      <c r="I25" s="62">
        <f>'Income Statement'!J28/SUM('Balance Sheet'!J10:J12)</f>
        <v>0.33361872839296258</v>
      </c>
      <c r="J25" s="62">
        <f>'Income Statement'!K28/SUM('Balance Sheet'!K10:K12)</f>
        <v>0.32086769697470907</v>
      </c>
      <c r="K25" s="62">
        <f>'Income Statement'!L28/SUM('Balance Sheet'!L10:L12)</f>
        <v>0.36595154151976589</v>
      </c>
      <c r="L25" s="62">
        <f>'Income Statement'!M28/SUM('Balance Sheet'!M10:M12)</f>
        <v>0.33985115109526576</v>
      </c>
      <c r="M25" s="11"/>
      <c r="N25" s="62">
        <f t="shared" si="0"/>
        <v>0.36285339418127738</v>
      </c>
      <c r="O25" s="62">
        <f t="shared" si="2"/>
        <v>0.36461806371366401</v>
      </c>
    </row>
    <row r="26" spans="2:15" x14ac:dyDescent="0.3">
      <c r="B26" s="62" t="s">
        <v>131</v>
      </c>
      <c r="C26" s="62">
        <f>'Income Statement'!D48</f>
        <v>0.81059339567988087</v>
      </c>
      <c r="D26" s="62">
        <f>'Income Statement'!E48</f>
        <v>0.74728576102799016</v>
      </c>
      <c r="E26" s="62">
        <f>'Income Statement'!F48</f>
        <v>0.77341906712644848</v>
      </c>
      <c r="F26" s="62">
        <f>'Income Statement'!G48</f>
        <v>0.78108018319451356</v>
      </c>
      <c r="G26" s="62">
        <f>'Income Statement'!H48</f>
        <v>0.79469390500533299</v>
      </c>
      <c r="H26" s="62">
        <f>'Income Statement'!I48</f>
        <v>0.76432050193250956</v>
      </c>
      <c r="I26" s="62">
        <f>'Income Statement'!J48</f>
        <v>0.76983465704523035</v>
      </c>
      <c r="J26" s="62">
        <f>'Income Statement'!K48</f>
        <v>0.78145322881147383</v>
      </c>
      <c r="K26" s="62">
        <f>'Income Statement'!L48</f>
        <v>0.77061373180645265</v>
      </c>
      <c r="L26" s="62">
        <f>'Income Statement'!M48</f>
        <v>0.76312328239785265</v>
      </c>
      <c r="M26" s="11"/>
      <c r="N26" s="62">
        <f t="shared" si="0"/>
        <v>0.77175825759420047</v>
      </c>
      <c r="O26" s="62">
        <f t="shared" si="2"/>
        <v>0.77201639946645062</v>
      </c>
    </row>
    <row r="27" spans="2:15" x14ac:dyDescent="0.3">
      <c r="B27" s="62" t="s">
        <v>132</v>
      </c>
      <c r="C27" s="62">
        <f>'Income Statement'!D40/SUM('Balance Sheet'!D10:D11)</f>
        <v>0.38675748516410724</v>
      </c>
      <c r="D27" s="62">
        <f>'Income Statement'!E40/SUM('Balance Sheet'!E10:E11)</f>
        <v>0.35359389133132807</v>
      </c>
      <c r="E27" s="62">
        <f>'Income Statement'!F40/SUM('Balance Sheet'!F10:F11)</f>
        <v>0.35150443607001081</v>
      </c>
      <c r="F27" s="62">
        <f>'Income Statement'!G40/SUM('Balance Sheet'!G10:G11)</f>
        <v>0.3448795119096818</v>
      </c>
      <c r="G27" s="62">
        <f>'Income Statement'!H40/SUM('Balance Sheet'!H10:H11)</f>
        <v>0.39121772244213621</v>
      </c>
      <c r="H27" s="62">
        <f>'Income Statement'!I40/SUM('Balance Sheet'!I10:I11)</f>
        <v>0.34171881061456322</v>
      </c>
      <c r="I27" s="62">
        <f>'Income Statement'!J40/SUM('Balance Sheet'!J10:J11)</f>
        <v>0.33312791731071373</v>
      </c>
      <c r="J27" s="62">
        <f>'Income Statement'!K40/SUM('Balance Sheet'!K10:K11)</f>
        <v>0.31649132644433153</v>
      </c>
      <c r="K27" s="62">
        <f>'Income Statement'!L40/SUM('Balance Sheet'!L10:L11)</f>
        <v>0.33069342271847579</v>
      </c>
      <c r="L27" s="62">
        <f>'Income Statement'!M40/SUM('Balance Sheet'!M10:M11)</f>
        <v>0.30391771339432233</v>
      </c>
      <c r="M27" s="11"/>
      <c r="N27" s="62">
        <f t="shared" si="0"/>
        <v>0.34079386135950712</v>
      </c>
      <c r="O27" s="62">
        <f t="shared" si="2"/>
        <v>0.34329916126212251</v>
      </c>
    </row>
    <row r="28" spans="2:15" x14ac:dyDescent="0.3">
      <c r="B28" s="62" t="s">
        <v>133</v>
      </c>
      <c r="C28" s="62">
        <f>C26*C27</f>
        <v>0.31350306320378485</v>
      </c>
      <c r="D28" s="62">
        <f t="shared" ref="D28:L28" si="3">D26*D27</f>
        <v>0.26423568017837995</v>
      </c>
      <c r="E28" s="62">
        <f t="shared" si="3"/>
        <v>0.27186023303607609</v>
      </c>
      <c r="F28" s="62">
        <f t="shared" si="3"/>
        <v>0.26937855234244867</v>
      </c>
      <c r="G28" s="62">
        <f t="shared" si="3"/>
        <v>0.3108983395548337</v>
      </c>
      <c r="H28" s="62">
        <f t="shared" si="3"/>
        <v>0.26118269284870316</v>
      </c>
      <c r="I28" s="62">
        <f t="shared" si="3"/>
        <v>0.25645341597508514</v>
      </c>
      <c r="J28" s="62">
        <f t="shared" si="3"/>
        <v>0.24732316894074907</v>
      </c>
      <c r="K28" s="62">
        <f t="shared" si="3"/>
        <v>0.25483689256493336</v>
      </c>
      <c r="L28" s="62">
        <f t="shared" si="3"/>
        <v>0.23192668302432509</v>
      </c>
      <c r="M28" s="11"/>
      <c r="N28" s="62">
        <f t="shared" si="0"/>
        <v>0.26312173982950382</v>
      </c>
      <c r="O28" s="62">
        <f t="shared" si="2"/>
        <v>0.26270918651354158</v>
      </c>
    </row>
    <row r="29" spans="2:15" x14ac:dyDescent="0.3">
      <c r="B29" t="s">
        <v>134</v>
      </c>
      <c r="C29" s="65">
        <f>'Income Statement'!D28/'Income Statement'!D31</f>
        <v>30.060483870967747</v>
      </c>
      <c r="D29" s="65">
        <f>'Income Statement'!E28/'Income Statement'!E31</f>
        <v>56.598027127003718</v>
      </c>
      <c r="E29" s="65">
        <f>'Income Statement'!F28/'Income Statement'!F31</f>
        <v>42.356008146639482</v>
      </c>
      <c r="F29" s="65">
        <f>'Income Statement'!G28/'Income Statement'!G31</f>
        <v>24.583615580016922</v>
      </c>
      <c r="G29" s="65">
        <f>'Income Statement'!H28/'Income Statement'!H31</f>
        <v>27.950467687074823</v>
      </c>
      <c r="H29" s="65">
        <f>'Income Statement'!I28/'Income Statement'!I31</f>
        <v>33.037188208616783</v>
      </c>
      <c r="I29" s="65">
        <f>'Income Statement'!J28/'Income Statement'!J31</f>
        <v>32.497042586750787</v>
      </c>
      <c r="J29" s="65">
        <f>'Income Statement'!K28/'Income Statement'!K31</f>
        <v>18.376700594578246</v>
      </c>
      <c r="K29" s="65">
        <f>'Income Statement'!L28/'Income Statement'!L31</f>
        <v>28.678722044728431</v>
      </c>
      <c r="L29" s="65">
        <f>'Income Statement'!M28/'Income Statement'!M31</f>
        <v>36.656709340919853</v>
      </c>
      <c r="M29" s="11"/>
      <c r="N29" s="65">
        <f>IFERROR(AVERAGE(D29:L29), "")</f>
        <v>33.414942368481007</v>
      </c>
      <c r="O29" s="65">
        <f t="shared" si="2"/>
        <v>31.278763228859269</v>
      </c>
    </row>
    <row r="30" spans="2:15" x14ac:dyDescent="0.3"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11"/>
      <c r="N30" s="11"/>
      <c r="O30" s="11"/>
    </row>
    <row r="31" spans="2:15" x14ac:dyDescent="0.3">
      <c r="B31" s="11" t="s">
        <v>135</v>
      </c>
      <c r="C31" s="67">
        <f>'Income Statement'!D10/'Balance Sheet'!D22</f>
        <v>7.7431243124312443</v>
      </c>
      <c r="D31" s="67">
        <f>'Income Statement'!E10/'Balance Sheet'!E22</f>
        <v>7.8739578648770197</v>
      </c>
      <c r="E31" s="67">
        <f>'Income Statement'!F10/'Balance Sheet'!F22</f>
        <v>7.4606152512998261</v>
      </c>
      <c r="F31" s="67">
        <f>'Income Statement'!G10/'Balance Sheet'!G22</f>
        <v>9.0276106510990637</v>
      </c>
      <c r="G31" s="67">
        <f>'Income Statement'!H10/'Balance Sheet'!H22</f>
        <v>8.9143409278682544</v>
      </c>
      <c r="H31" s="67">
        <f>'Income Statement'!I10/'Balance Sheet'!I22</f>
        <v>6.6857470678225397</v>
      </c>
      <c r="I31" s="67">
        <f>'Income Statement'!J10/'Balance Sheet'!J22</f>
        <v>8.3154088527826282</v>
      </c>
      <c r="J31" s="67">
        <f>'Income Statement'!K10/'Balance Sheet'!K22</f>
        <v>8.5010618443915327</v>
      </c>
      <c r="K31" s="67">
        <f>'Income Statement'!L10/'Balance Sheet'!L22</f>
        <v>8.6011889218291575</v>
      </c>
      <c r="L31" s="67">
        <f>'Income Statement'!M10/'Balance Sheet'!M22</f>
        <v>7.517702370952092</v>
      </c>
      <c r="M31" s="11"/>
      <c r="N31" s="71">
        <f t="shared" si="0"/>
        <v>8.0997370836580131</v>
      </c>
      <c r="O31" s="71">
        <f t="shared" si="2"/>
        <v>8.0946833588298244</v>
      </c>
    </row>
    <row r="32" spans="2:15" x14ac:dyDescent="0.3">
      <c r="B32" s="11" t="s">
        <v>136</v>
      </c>
      <c r="C32" s="67">
        <f>'Income Statement'!D10/'Balance Sheet'!D13</f>
        <v>4.3977340178487756</v>
      </c>
      <c r="D32" s="67">
        <f>'Income Statement'!E10/'Balance Sheet'!E13</f>
        <v>4.0221328856688459</v>
      </c>
      <c r="E32" s="67">
        <f>'Income Statement'!F10/'Balance Sheet'!F13</f>
        <v>3.895812122446209</v>
      </c>
      <c r="F32" s="67">
        <f>'Income Statement'!G10/'Balance Sheet'!G13</f>
        <v>4.4575122066003878</v>
      </c>
      <c r="G32" s="67">
        <f>'Income Statement'!H10/'Balance Sheet'!H13</f>
        <v>4.3232256005215719</v>
      </c>
      <c r="H32" s="67">
        <f>'Income Statement'!I10/'Balance Sheet'!I13</f>
        <v>3.5750153381471521</v>
      </c>
      <c r="I32" s="67">
        <f>'Income Statement'!J10/'Balance Sheet'!J13</f>
        <v>3.8581663342096113</v>
      </c>
      <c r="J32" s="67">
        <f>'Income Statement'!K10/'Balance Sheet'!K13</f>
        <v>4.6282781213320954</v>
      </c>
      <c r="K32" s="67">
        <f>'Income Statement'!L10/'Balance Sheet'!L13</f>
        <v>5.0094921137622235</v>
      </c>
      <c r="L32" s="67">
        <f>'Income Statement'!M10/'Balance Sheet'!M13</f>
        <v>5.0184572583624947</v>
      </c>
      <c r="M32" s="11"/>
      <c r="N32" s="71">
        <f t="shared" si="0"/>
        <v>4.3097879978945102</v>
      </c>
      <c r="O32" s="71">
        <f t="shared" si="2"/>
        <v>4.3604798091851737</v>
      </c>
    </row>
    <row r="33" spans="2:15" x14ac:dyDescent="0.3">
      <c r="B33" s="11" t="s">
        <v>137</v>
      </c>
      <c r="C33" s="67">
        <f>'Income Statement'!D10/'Balance Sheet'!D23</f>
        <v>5.7595843050611677</v>
      </c>
      <c r="D33" s="67">
        <f>'Income Statement'!E10/'Balance Sheet'!E23</f>
        <v>4.8662704309063889</v>
      </c>
      <c r="E33" s="67">
        <f>'Income Statement'!F10/'Balance Sheet'!F23</f>
        <v>5.1280898207159442</v>
      </c>
      <c r="F33" s="67">
        <f>'Income Statement'!G10/'Balance Sheet'!G23</f>
        <v>4.9142379998865042</v>
      </c>
      <c r="G33" s="67">
        <f>'Income Statement'!H10/'Balance Sheet'!H23</f>
        <v>4.9792875803701326</v>
      </c>
      <c r="H33" s="67">
        <f>'Income Statement'!I10/'Balance Sheet'!I23</f>
        <v>4.2184663362477028</v>
      </c>
      <c r="I33" s="67">
        <f>'Income Statement'!J10/'Balance Sheet'!J23</f>
        <v>3.7834296990711755</v>
      </c>
      <c r="J33" s="67">
        <f>'Income Statement'!K10/'Balance Sheet'!K23</f>
        <v>4.5568319017558387</v>
      </c>
      <c r="K33" s="67">
        <f>'Income Statement'!L10/'Balance Sheet'!L23</f>
        <v>5.1378734493136609</v>
      </c>
      <c r="L33" s="67">
        <f>'Income Statement'!M10/'Balance Sheet'!M23</f>
        <v>4.879132257600987</v>
      </c>
      <c r="M33" s="11"/>
      <c r="N33" s="71">
        <f t="shared" si="0"/>
        <v>4.7181799417631476</v>
      </c>
      <c r="O33" s="71">
        <f t="shared" si="2"/>
        <v>4.8966851287437461</v>
      </c>
    </row>
    <row r="34" spans="2:15" x14ac:dyDescent="0.3">
      <c r="B34" s="11" t="s">
        <v>138</v>
      </c>
      <c r="C34" s="67">
        <f>'Income Statement'!D10/'Balance Sheet'!D16</f>
        <v>4.3857225937772615</v>
      </c>
      <c r="D34" s="67">
        <f>'Income Statement'!E10/'Balance Sheet'!E16</f>
        <v>4.007403429698229</v>
      </c>
      <c r="E34" s="67">
        <f>'Income Statement'!F10/'Balance Sheet'!F16</f>
        <v>4.0765879874050039</v>
      </c>
      <c r="F34" s="67">
        <f>'Income Statement'!G10/'Balance Sheet'!G16</f>
        <v>3.8301961899346031</v>
      </c>
      <c r="G34" s="67">
        <f>'Income Statement'!H10/'Balance Sheet'!H16</f>
        <v>3.323198838987873</v>
      </c>
      <c r="H34" s="67">
        <f>'Income Statement'!I10/'Balance Sheet'!I16</f>
        <v>3.3350568921153303</v>
      </c>
      <c r="I34" s="67">
        <f>'Income Statement'!J10/'Balance Sheet'!J16</f>
        <v>4.0066489544130492</v>
      </c>
      <c r="J34" s="67">
        <f>'Income Statement'!K10/'Balance Sheet'!K16</f>
        <v>3.1720300038720484</v>
      </c>
      <c r="K34" s="67">
        <f>'Income Statement'!L10/'Balance Sheet'!L16</f>
        <v>3.1999474243653778</v>
      </c>
      <c r="L34" s="67">
        <f>'Income Statement'!M10/'Balance Sheet'!M16</f>
        <v>3.1397175407058491</v>
      </c>
      <c r="M34" s="11"/>
      <c r="N34" s="71">
        <f t="shared" si="0"/>
        <v>3.5656430290552623</v>
      </c>
      <c r="O34" s="71">
        <f t="shared" si="2"/>
        <v>3.5826265410249665</v>
      </c>
    </row>
    <row r="35" spans="2:15" x14ac:dyDescent="0.3">
      <c r="B35" s="11" t="s">
        <v>139</v>
      </c>
      <c r="C35" s="67">
        <f>'Income Statement'!D10/SUM('Balance Sheet'!D10:D11)</f>
        <v>2.7034933966672861</v>
      </c>
      <c r="D35" s="67">
        <f>'Income Statement'!E10/SUM('Balance Sheet'!E10:E11)</f>
        <v>2.3939554891773072</v>
      </c>
      <c r="E35" s="67">
        <f>'Income Statement'!F10/SUM('Balance Sheet'!F10:F11)</f>
        <v>2.3539332242733004</v>
      </c>
      <c r="F35" s="67">
        <f>'Income Statement'!G10/SUM('Balance Sheet'!G10:G11)</f>
        <v>2.4804956195448908</v>
      </c>
      <c r="G35" s="67">
        <f>'Income Statement'!H10/SUM('Balance Sheet'!H10:H11)</f>
        <v>2.3930484600376669</v>
      </c>
      <c r="H35" s="67">
        <f>'Income Statement'!I10/SUM('Balance Sheet'!I10:I11)</f>
        <v>2.0189080420626202</v>
      </c>
      <c r="I35" s="67">
        <f>'Income Statement'!J10/SUM('Balance Sheet'!J10:J11)</f>
        <v>2.2311694198355485</v>
      </c>
      <c r="J35" s="67">
        <f>'Income Statement'!K10/SUM('Balance Sheet'!K10:K11)</f>
        <v>2.3514814913709472</v>
      </c>
      <c r="K35" s="67">
        <f>'Income Statement'!L10/SUM('Balance Sheet'!L10:L11)</f>
        <v>2.0819822382352009</v>
      </c>
      <c r="L35" s="67">
        <f>'Income Statement'!M10/SUM('Balance Sheet'!M10:M11)</f>
        <v>1.8759379925578068</v>
      </c>
      <c r="M35" s="11"/>
      <c r="N35" s="71">
        <f t="shared" si="0"/>
        <v>2.2423235530105874</v>
      </c>
      <c r="O35" s="71">
        <f t="shared" si="2"/>
        <v>2.3527073578221236</v>
      </c>
    </row>
    <row r="36" spans="2:15" x14ac:dyDescent="0.3">
      <c r="M36" s="11"/>
      <c r="N36" s="62" t="str">
        <f t="shared" si="0"/>
        <v/>
      </c>
      <c r="O36" s="62" t="str">
        <f t="shared" si="2"/>
        <v/>
      </c>
    </row>
    <row r="37" spans="2:15" x14ac:dyDescent="0.3">
      <c r="B37" s="11" t="s">
        <v>140</v>
      </c>
      <c r="C37" s="68">
        <f>365/C31</f>
        <v>47.138594871066275</v>
      </c>
      <c r="D37" s="68">
        <f t="shared" ref="D37:L37" si="4">365/D31</f>
        <v>46.355340765555496</v>
      </c>
      <c r="E37" s="68">
        <f t="shared" si="4"/>
        <v>48.923579048846925</v>
      </c>
      <c r="F37" s="68">
        <f t="shared" si="4"/>
        <v>40.431517718983947</v>
      </c>
      <c r="G37" s="68">
        <f t="shared" si="4"/>
        <v>40.945259212481666</v>
      </c>
      <c r="H37" s="68">
        <f t="shared" si="4"/>
        <v>54.593749404114945</v>
      </c>
      <c r="I37" s="68">
        <f t="shared" si="4"/>
        <v>43.894414148723207</v>
      </c>
      <c r="J37" s="68">
        <f t="shared" si="4"/>
        <v>42.935812805644289</v>
      </c>
      <c r="K37" s="68">
        <f t="shared" si="4"/>
        <v>42.435993827976269</v>
      </c>
      <c r="L37" s="68">
        <f t="shared" si="4"/>
        <v>48.552068436539336</v>
      </c>
      <c r="M37" s="11"/>
      <c r="N37" s="72">
        <f t="shared" si="0"/>
        <v>45.451970596540683</v>
      </c>
      <c r="O37" s="72">
        <f t="shared" si="2"/>
        <v>45.124877457139348</v>
      </c>
    </row>
    <row r="38" spans="2:15" x14ac:dyDescent="0.3">
      <c r="B38" s="11" t="s">
        <v>141</v>
      </c>
      <c r="C38" s="68">
        <f t="shared" ref="C38:L39" si="5">365/C32</f>
        <v>82.997288721555236</v>
      </c>
      <c r="D38" s="68">
        <f t="shared" si="5"/>
        <v>90.74787193146247</v>
      </c>
      <c r="E38" s="68">
        <f t="shared" si="5"/>
        <v>93.690349669843371</v>
      </c>
      <c r="F38" s="68">
        <f t="shared" si="5"/>
        <v>81.884240150712827</v>
      </c>
      <c r="G38" s="68">
        <f t="shared" si="5"/>
        <v>84.427701380183549</v>
      </c>
      <c r="H38" s="68">
        <f t="shared" si="5"/>
        <v>102.09746405988039</v>
      </c>
      <c r="I38" s="68">
        <f t="shared" si="5"/>
        <v>94.604526705760691</v>
      </c>
      <c r="J38" s="68">
        <f t="shared" si="5"/>
        <v>78.863022150221809</v>
      </c>
      <c r="K38" s="68">
        <f t="shared" si="5"/>
        <v>72.861677733209987</v>
      </c>
      <c r="L38" s="68">
        <f t="shared" si="5"/>
        <v>72.731515126841643</v>
      </c>
      <c r="M38" s="11"/>
      <c r="N38" s="72">
        <f t="shared" si="0"/>
        <v>85.767596545346294</v>
      </c>
      <c r="O38" s="72">
        <f t="shared" si="2"/>
        <v>83.712495050869393</v>
      </c>
    </row>
    <row r="39" spans="2:15" x14ac:dyDescent="0.3">
      <c r="B39" s="11" t="s">
        <v>142</v>
      </c>
      <c r="C39" s="68">
        <f t="shared" si="5"/>
        <v>63.372629111316328</v>
      </c>
      <c r="D39" s="68">
        <f t="shared" si="5"/>
        <v>75.006106870229019</v>
      </c>
      <c r="E39" s="68">
        <f t="shared" si="5"/>
        <v>71.176600403040823</v>
      </c>
      <c r="F39" s="68">
        <f t="shared" si="5"/>
        <v>74.273976964166124</v>
      </c>
      <c r="G39" s="68">
        <f t="shared" si="5"/>
        <v>73.303659230075624</v>
      </c>
      <c r="H39" s="68">
        <f t="shared" si="5"/>
        <v>86.52433631239191</v>
      </c>
      <c r="I39" s="68">
        <f t="shared" si="5"/>
        <v>96.473313641748589</v>
      </c>
      <c r="J39" s="68">
        <f t="shared" si="5"/>
        <v>80.099509455101511</v>
      </c>
      <c r="K39" s="68">
        <f t="shared" si="5"/>
        <v>71.041064674093576</v>
      </c>
      <c r="L39" s="68">
        <f t="shared" si="5"/>
        <v>74.808384099730532</v>
      </c>
      <c r="M39" s="11"/>
      <c r="N39" s="72">
        <f t="shared" si="0"/>
        <v>78.078550183397539</v>
      </c>
      <c r="O39" s="72">
        <f t="shared" si="2"/>
        <v>74.541180531948328</v>
      </c>
    </row>
    <row r="40" spans="2:15" x14ac:dyDescent="0.3">
      <c r="B40" s="11" t="s">
        <v>143</v>
      </c>
      <c r="C40" s="68">
        <f>(C37+C39)-C38</f>
        <v>27.513935260827367</v>
      </c>
      <c r="D40" s="68">
        <f t="shared" ref="D40:L40" si="6">(D37+D39)-D38</f>
        <v>30.613575704322045</v>
      </c>
      <c r="E40" s="68">
        <f t="shared" si="6"/>
        <v>26.409829782044383</v>
      </c>
      <c r="F40" s="68">
        <f t="shared" si="6"/>
        <v>32.821254532437251</v>
      </c>
      <c r="G40" s="68">
        <f t="shared" si="6"/>
        <v>29.821217062373734</v>
      </c>
      <c r="H40" s="68">
        <f t="shared" si="6"/>
        <v>39.020621656626474</v>
      </c>
      <c r="I40" s="68">
        <f t="shared" si="6"/>
        <v>45.763201084711113</v>
      </c>
      <c r="J40" s="68">
        <f t="shared" si="6"/>
        <v>44.172300110523992</v>
      </c>
      <c r="K40" s="68">
        <f t="shared" si="6"/>
        <v>40.61538076885985</v>
      </c>
      <c r="L40" s="68">
        <f t="shared" si="6"/>
        <v>50.628937409428218</v>
      </c>
      <c r="M40" s="11"/>
      <c r="N40" s="72">
        <f t="shared" si="0"/>
        <v>37.7629242345919</v>
      </c>
      <c r="O40" s="72">
        <f t="shared" si="2"/>
        <v>35.920938094531863</v>
      </c>
    </row>
    <row r="41" spans="2:15" x14ac:dyDescent="0.3">
      <c r="M41" s="11"/>
      <c r="N41" s="62" t="str">
        <f t="shared" si="0"/>
        <v/>
      </c>
      <c r="O41" s="62" t="str">
        <f t="shared" si="2"/>
        <v/>
      </c>
    </row>
    <row r="42" spans="2:15" x14ac:dyDescent="0.3">
      <c r="B42" s="11" t="s">
        <v>144</v>
      </c>
      <c r="C42" s="62">
        <f>'Cash Flow Statement'!$C$18/'Income Statement'!D10</f>
        <v>6.7485970022021738E-2</v>
      </c>
      <c r="D42" s="62">
        <f>'Cash Flow Statement'!$C$18/'Income Statement'!E10</f>
        <v>6.2606403426876817E-2</v>
      </c>
      <c r="E42" s="62">
        <f>'Cash Flow Statement'!$C$18/'Income Statement'!F10</f>
        <v>5.517129234396688E-2</v>
      </c>
      <c r="F42" s="62">
        <f>'Cash Flow Statement'!$C$18/'Income Statement'!G10</f>
        <v>4.7015272540111452E-2</v>
      </c>
      <c r="G42" s="62">
        <f>'Cash Flow Statement'!$C$18/'Income Statement'!H10</f>
        <v>4.4770351659330618E-2</v>
      </c>
      <c r="H42" s="62">
        <f>'Cash Flow Statement'!$C$18/'Income Statement'!I10</f>
        <v>4.1803628554958568E-2</v>
      </c>
      <c r="I42" s="62">
        <f>'Cash Flow Statement'!$C$18/'Income Statement'!J10</f>
        <v>3.2527637078310571E-2</v>
      </c>
      <c r="J42" s="62">
        <f>'Cash Flow Statement'!$C$18/'Income Statement'!K10</f>
        <v>2.6968614210661782E-2</v>
      </c>
      <c r="K42" s="62">
        <f>'Cash Flow Statement'!$C$18/'Income Statement'!L10</f>
        <v>2.5448882570819328E-2</v>
      </c>
      <c r="L42" s="62">
        <f>'Cash Flow Statement'!$C$18/'Income Statement'!M10</f>
        <v>2.4686631366227476E-2</v>
      </c>
      <c r="M42" s="11"/>
      <c r="N42" s="62">
        <f t="shared" si="0"/>
        <v>4.0110968194584831E-2</v>
      </c>
      <c r="O42" s="62">
        <f t="shared" si="2"/>
        <v>4.3286990107144596E-2</v>
      </c>
    </row>
    <row r="43" spans="2:15" x14ac:dyDescent="0.3">
      <c r="B43" s="11" t="s">
        <v>145</v>
      </c>
      <c r="C43" s="62">
        <f>'Cash Flow Statement'!$C$18/'Balance Sheet'!D27</f>
        <v>9.906875371507827E-2</v>
      </c>
      <c r="D43" s="62">
        <f>'Cash Flow Statement'!$C$18/'Balance Sheet'!E27</f>
        <v>8.2859194608628395E-2</v>
      </c>
      <c r="E43" s="62">
        <f>'Cash Flow Statement'!$C$18/'Balance Sheet'!F27</f>
        <v>7.2286406351058291E-2</v>
      </c>
      <c r="F43" s="62">
        <f>'Cash Flow Statement'!$C$18/'Balance Sheet'!G27</f>
        <v>6.2545674801993564E-2</v>
      </c>
      <c r="G43" s="62">
        <f>'Cash Flow Statement'!$C$18/'Balance Sheet'!H27</f>
        <v>5.8169200938871311E-2</v>
      </c>
      <c r="H43" s="62">
        <f>'Cash Flow Statement'!$C$18/'Balance Sheet'!I27</f>
        <v>4.8161091245834488E-2</v>
      </c>
      <c r="I43" s="62">
        <f>'Cash Flow Statement'!$C$18/'Balance Sheet'!J27</f>
        <v>3.9520265576184675E-2</v>
      </c>
      <c r="J43" s="62">
        <f>'Cash Flow Statement'!$C$18/'Balance Sheet'!K27</f>
        <v>3.5775211167891181E-2</v>
      </c>
      <c r="K43" s="62">
        <f>'Cash Flow Statement'!$C$18/'Balance Sheet'!L27</f>
        <v>3.4059131432395605E-2</v>
      </c>
      <c r="L43" s="62">
        <f>'Cash Flow Statement'!$C$18/'Balance Sheet'!M27</f>
        <v>3.1233492825063946E-2</v>
      </c>
      <c r="M43" s="11"/>
      <c r="N43" s="62">
        <f t="shared" si="0"/>
        <v>5.1623296549769042E-2</v>
      </c>
      <c r="O43" s="62">
        <f t="shared" si="2"/>
        <v>5.31651460923529E-2</v>
      </c>
    </row>
    <row r="44" spans="2:15" x14ac:dyDescent="0.3">
      <c r="B44" s="11" t="s">
        <v>146</v>
      </c>
      <c r="C44" s="62">
        <f>'Cash Flow Statement'!$C$18/'Balance Sheet'!D12</f>
        <v>0.80415338167658923</v>
      </c>
      <c r="D44" s="62">
        <f>'Cash Flow Statement'!$C$18/'Balance Sheet'!E12</f>
        <v>0.70160754289653138</v>
      </c>
      <c r="E44" s="62">
        <f>'Cash Flow Statement'!$C$18/'Balance Sheet'!F12</f>
        <v>0.67508349716938676</v>
      </c>
      <c r="F44" s="62">
        <f>'Cash Flow Statement'!$C$18/'Balance Sheet'!G12</f>
        <v>0.37851621643158817</v>
      </c>
      <c r="G44" s="62">
        <f>'Cash Flow Statement'!$C$18/'Balance Sheet'!H12</f>
        <v>0.37162602686139001</v>
      </c>
      <c r="H44" s="62">
        <f>'Cash Flow Statement'!$C$18/'Balance Sheet'!I12</f>
        <v>0.44969704620045442</v>
      </c>
      <c r="I44" s="62">
        <f>'Cash Flow Statement'!$C$18/'Balance Sheet'!J12</f>
        <v>0.28119542588773888</v>
      </c>
      <c r="J44" s="62">
        <f>'Cash Flow Statement'!$C$18/'Balance Sheet'!K12</f>
        <v>0.23970327258046881</v>
      </c>
      <c r="K44" s="62">
        <f>'Cash Flow Statement'!$C$18/'Balance Sheet'!L12</f>
        <v>0.3783403470111113</v>
      </c>
      <c r="L44" s="62">
        <f>'Cash Flow Statement'!$C$18/'Balance Sheet'!M12</f>
        <v>0.42520178435555822</v>
      </c>
      <c r="M44" s="11"/>
      <c r="N44" s="62">
        <f t="shared" si="0"/>
        <v>0.43344123993269201</v>
      </c>
      <c r="O44" s="62">
        <f t="shared" si="2"/>
        <v>0.4018590003935732</v>
      </c>
    </row>
    <row r="45" spans="2:15" x14ac:dyDescent="0.3">
      <c r="O45" s="63" t="str">
        <f t="shared" si="2"/>
        <v/>
      </c>
    </row>
  </sheetData>
  <mergeCells count="1">
    <mergeCell ref="B6:L6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3281B25A-7065-43EF-A6BC-5C13E39F8A4E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</x14:sparklines>
        </x14:sparklineGroup>
        <x14:sparklineGroup displayEmptyCellsAs="gap" markers="1" xr2:uid="{A986DE7D-8DDE-4937-B39F-B11586B83092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  <x14:sparkline>
              <xm:f>'Ratio Analysis'!C41:L41</xm:f>
              <xm:sqref>M41</xm:sqref>
            </x14:sparkline>
            <x14:sparkline>
              <xm:f>'Ratio Analysis'!C42:L42</xm:f>
              <xm:sqref>M42</xm:sqref>
            </x14:sparkline>
            <x14:sparkline>
              <xm:f>'Ratio Analysis'!C43:L43</xm:f>
              <xm:sqref>M43</xm:sqref>
            </x14:sparkline>
            <x14:sparkline>
              <xm:f>'Ratio Analysis'!C44:L44</xm:f>
              <xm:sqref>M44</xm:sqref>
            </x14:sparkline>
          </x14:sparklines>
        </x14:sparklineGroup>
        <x14:sparklineGroup displayEmptyCellsAs="gap" xr2:uid="{799855CC-EDF3-4CB6-8BAB-BC083D920E9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Analysis'!D30:M30</xm:f>
              <xm:sqref>N30</xm:sqref>
            </x14:sparkline>
            <x14:sparkline>
              <xm:f>'Ratio Analysis'!E30:N30</xm:f>
              <xm:sqref>O30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6BD18-7F53-484C-A802-618DFF72BC52}">
  <dimension ref="B1:O37"/>
  <sheetViews>
    <sheetView showGridLines="0" workbookViewId="0">
      <selection activeCell="K11" sqref="K11"/>
    </sheetView>
  </sheetViews>
  <sheetFormatPr defaultRowHeight="14.4" x14ac:dyDescent="0.3"/>
  <cols>
    <col min="1" max="1" width="1.88671875" customWidth="1"/>
    <col min="2" max="2" width="21.109375" bestFit="1" customWidth="1"/>
    <col min="3" max="3" width="16.5546875" style="73" customWidth="1"/>
    <col min="4" max="4" width="12.77734375" customWidth="1"/>
  </cols>
  <sheetData>
    <row r="1" spans="2:5" ht="15" thickBot="1" x14ac:dyDescent="0.35"/>
    <row r="2" spans="2:5" ht="15" thickBot="1" x14ac:dyDescent="0.35">
      <c r="B2" s="83" t="s">
        <v>150</v>
      </c>
      <c r="C2" s="84" t="s">
        <v>54</v>
      </c>
      <c r="D2" s="85" t="s">
        <v>1</v>
      </c>
      <c r="E2" s="86" t="s">
        <v>151</v>
      </c>
    </row>
    <row r="3" spans="2:5" x14ac:dyDescent="0.3">
      <c r="B3" s="81">
        <v>1</v>
      </c>
      <c r="C3" s="82">
        <v>42460</v>
      </c>
      <c r="D3" s="97">
        <v>4223.1000000000004</v>
      </c>
      <c r="E3" s="87" t="s">
        <v>152</v>
      </c>
    </row>
    <row r="4" spans="2:5" x14ac:dyDescent="0.3">
      <c r="B4" s="76">
        <v>2</v>
      </c>
      <c r="C4" s="77">
        <v>42825</v>
      </c>
      <c r="D4" s="98">
        <v>4552.25</v>
      </c>
      <c r="E4" s="79">
        <f>D4/D3-1</f>
        <v>7.7940375553503305E-2</v>
      </c>
    </row>
    <row r="5" spans="2:5" x14ac:dyDescent="0.3">
      <c r="B5" s="76">
        <v>3</v>
      </c>
      <c r="C5" s="77">
        <v>43190</v>
      </c>
      <c r="D5" s="98">
        <v>5165.7299999999996</v>
      </c>
      <c r="E5" s="79">
        <f t="shared" ref="E5:E12" si="0">D5/D4-1</f>
        <v>0.13476412762919421</v>
      </c>
    </row>
    <row r="6" spans="2:5" x14ac:dyDescent="0.3">
      <c r="B6" s="76">
        <v>4</v>
      </c>
      <c r="C6" s="77">
        <v>43555</v>
      </c>
      <c r="D6" s="98">
        <v>6061.86</v>
      </c>
      <c r="E6" s="79">
        <f t="shared" si="0"/>
        <v>0.17347596564280376</v>
      </c>
    </row>
    <row r="7" spans="2:5" x14ac:dyDescent="0.3">
      <c r="B7" s="76">
        <v>5</v>
      </c>
      <c r="C7" s="77">
        <v>43921</v>
      </c>
      <c r="D7" s="98">
        <v>6365.82</v>
      </c>
      <c r="E7" s="79">
        <f t="shared" si="0"/>
        <v>5.0143025408043052E-2</v>
      </c>
    </row>
    <row r="8" spans="2:5" x14ac:dyDescent="0.3">
      <c r="B8" s="76">
        <v>6</v>
      </c>
      <c r="C8" s="77">
        <v>44286</v>
      </c>
      <c r="D8" s="98">
        <v>6817.59</v>
      </c>
      <c r="E8" s="79">
        <f t="shared" si="0"/>
        <v>7.0968076382932566E-2</v>
      </c>
    </row>
    <row r="9" spans="2:5" x14ac:dyDescent="0.3">
      <c r="B9" s="76">
        <v>7</v>
      </c>
      <c r="C9" s="77">
        <v>44651</v>
      </c>
      <c r="D9" s="98">
        <v>8761.7800000000007</v>
      </c>
      <c r="E9" s="79">
        <f t="shared" si="0"/>
        <v>0.28517261965005236</v>
      </c>
    </row>
    <row r="10" spans="2:5" x14ac:dyDescent="0.3">
      <c r="B10" s="76">
        <v>8</v>
      </c>
      <c r="C10" s="77">
        <v>45016</v>
      </c>
      <c r="D10" s="98">
        <v>10567.84</v>
      </c>
      <c r="E10" s="79">
        <f t="shared" si="0"/>
        <v>0.2061293481461528</v>
      </c>
    </row>
    <row r="11" spans="2:5" x14ac:dyDescent="0.3">
      <c r="B11" s="76">
        <v>9</v>
      </c>
      <c r="C11" s="77">
        <v>45382</v>
      </c>
      <c r="D11" s="98">
        <v>11198.92</v>
      </c>
      <c r="E11" s="79">
        <f t="shared" si="0"/>
        <v>5.9717028266892846E-2</v>
      </c>
    </row>
    <row r="12" spans="2:5" x14ac:dyDescent="0.3">
      <c r="B12" s="76">
        <v>10</v>
      </c>
      <c r="C12" s="77">
        <v>45747</v>
      </c>
      <c r="D12" s="98">
        <v>11544.71</v>
      </c>
      <c r="E12" s="79">
        <f t="shared" si="0"/>
        <v>3.0877084576012681E-2</v>
      </c>
    </row>
    <row r="13" spans="2:5" x14ac:dyDescent="0.3">
      <c r="B13" s="99">
        <v>11</v>
      </c>
      <c r="C13" s="100">
        <v>2026</v>
      </c>
      <c r="D13" s="101">
        <f>FORECAST(B13,$D$3:$D$12,$B$3:$B$12)</f>
        <v>12458.735333333334</v>
      </c>
      <c r="E13" s="102">
        <f>D13/D12-1</f>
        <v>7.9172654257520181E-2</v>
      </c>
    </row>
    <row r="14" spans="2:5" x14ac:dyDescent="0.3">
      <c r="B14" s="99">
        <v>12</v>
      </c>
      <c r="C14" s="100">
        <f>C13+1</f>
        <v>2027</v>
      </c>
      <c r="D14" s="101">
        <f t="shared" ref="D14:D17" si="1">FORECAST(B14,$D$3:$D$12,$B$3:$B$12)</f>
        <v>13355.603575757577</v>
      </c>
      <c r="E14" s="102">
        <f>D14/D13-1</f>
        <v>7.1987101293072175E-2</v>
      </c>
    </row>
    <row r="15" spans="2:5" x14ac:dyDescent="0.3">
      <c r="B15" s="99">
        <v>13</v>
      </c>
      <c r="C15" s="100">
        <f t="shared" ref="C15:C17" si="2">C14+1</f>
        <v>2028</v>
      </c>
      <c r="D15" s="101">
        <f t="shared" si="1"/>
        <v>14252.471818181821</v>
      </c>
      <c r="E15" s="102">
        <f>D15/D14-1</f>
        <v>6.7152954738203929E-2</v>
      </c>
    </row>
    <row r="16" spans="2:5" x14ac:dyDescent="0.3">
      <c r="B16" s="99">
        <v>14</v>
      </c>
      <c r="C16" s="100">
        <f t="shared" si="2"/>
        <v>2029</v>
      </c>
      <c r="D16" s="101">
        <f t="shared" si="1"/>
        <v>15149.340060606062</v>
      </c>
      <c r="E16" s="102">
        <f>D16/D15-1</f>
        <v>6.2927206863872653E-2</v>
      </c>
    </row>
    <row r="17" spans="2:12" x14ac:dyDescent="0.3">
      <c r="B17" s="99">
        <v>15</v>
      </c>
      <c r="C17" s="100">
        <f t="shared" si="2"/>
        <v>2030</v>
      </c>
      <c r="D17" s="101">
        <f t="shared" si="1"/>
        <v>16046.208303030304</v>
      </c>
      <c r="E17" s="102">
        <f>D17/D16-1</f>
        <v>5.9201802773998891E-2</v>
      </c>
    </row>
    <row r="20" spans="2:12" ht="15" thickBot="1" x14ac:dyDescent="0.35">
      <c r="G20" t="s">
        <v>153</v>
      </c>
    </row>
    <row r="21" spans="2:12" ht="15" thickBot="1" x14ac:dyDescent="0.35">
      <c r="B21" s="74" t="s">
        <v>176</v>
      </c>
      <c r="C21" s="75">
        <f>AVERAGE(E4:E12)</f>
        <v>0.12102085013950974</v>
      </c>
    </row>
    <row r="22" spans="2:12" x14ac:dyDescent="0.3">
      <c r="B22" s="93" t="s">
        <v>177</v>
      </c>
      <c r="C22" s="94">
        <f>_xlfn.RRI(B12,D3,D12)</f>
        <v>0.10579638610276909</v>
      </c>
      <c r="G22" s="91" t="s">
        <v>154</v>
      </c>
      <c r="H22" s="91"/>
    </row>
    <row r="23" spans="2:12" ht="15" thickBot="1" x14ac:dyDescent="0.35">
      <c r="B23" s="95" t="s">
        <v>178</v>
      </c>
      <c r="C23" s="96">
        <f>(D12/D3)^(1/B12)-1</f>
        <v>0.10579638610276909</v>
      </c>
      <c r="G23" s="88" t="s">
        <v>155</v>
      </c>
      <c r="H23" s="88">
        <v>0.97550595261104633</v>
      </c>
    </row>
    <row r="24" spans="2:12" ht="15" thickBot="1" x14ac:dyDescent="0.35">
      <c r="B24" s="92" t="s">
        <v>179</v>
      </c>
      <c r="G24" s="88" t="s">
        <v>156</v>
      </c>
      <c r="H24" s="88">
        <v>0.95161186357958505</v>
      </c>
    </row>
    <row r="25" spans="2:12" x14ac:dyDescent="0.3">
      <c r="B25" s="81">
        <v>11</v>
      </c>
      <c r="C25" s="80">
        <v>2026</v>
      </c>
      <c r="D25" s="78">
        <v>12458.735333333334</v>
      </c>
      <c r="E25" s="79">
        <v>7.9172654257520181E-2</v>
      </c>
      <c r="G25" s="88" t="s">
        <v>157</v>
      </c>
      <c r="H25" s="88">
        <v>0.94556334652703322</v>
      </c>
    </row>
    <row r="26" spans="2:12" x14ac:dyDescent="0.3">
      <c r="B26" s="76">
        <v>12</v>
      </c>
      <c r="C26" s="80">
        <v>2027</v>
      </c>
      <c r="D26" s="78">
        <v>13355.603575757577</v>
      </c>
      <c r="E26" s="79">
        <v>7.1987101293072175E-2</v>
      </c>
      <c r="G26" s="88" t="s">
        <v>158</v>
      </c>
      <c r="H26" s="88">
        <v>649.45662497536614</v>
      </c>
    </row>
    <row r="27" spans="2:12" ht="15" thickBot="1" x14ac:dyDescent="0.35">
      <c r="B27" s="76">
        <v>13</v>
      </c>
      <c r="C27" s="80">
        <v>2028</v>
      </c>
      <c r="D27" s="78">
        <v>14252.471818181821</v>
      </c>
      <c r="E27" s="79">
        <v>6.7152954738203929E-2</v>
      </c>
      <c r="G27" s="89" t="s">
        <v>159</v>
      </c>
      <c r="H27" s="89">
        <v>10</v>
      </c>
    </row>
    <row r="28" spans="2:12" x14ac:dyDescent="0.3">
      <c r="B28" s="76">
        <v>14</v>
      </c>
      <c r="C28" s="80">
        <v>2029</v>
      </c>
      <c r="D28" s="78">
        <v>15149.340060606064</v>
      </c>
      <c r="E28" s="79">
        <v>6.2927206863872653E-2</v>
      </c>
    </row>
    <row r="29" spans="2:12" ht="15" thickBot="1" x14ac:dyDescent="0.35">
      <c r="B29" s="76">
        <v>15</v>
      </c>
      <c r="C29" s="80">
        <v>2030</v>
      </c>
      <c r="D29" s="78">
        <v>16046.208303030304</v>
      </c>
      <c r="E29" s="79">
        <v>5.9201802773998891E-2</v>
      </c>
      <c r="G29" t="s">
        <v>160</v>
      </c>
    </row>
    <row r="30" spans="2:12" x14ac:dyDescent="0.3">
      <c r="G30" s="90"/>
      <c r="H30" s="90" t="s">
        <v>164</v>
      </c>
      <c r="I30" s="90" t="s">
        <v>165</v>
      </c>
      <c r="J30" s="90" t="s">
        <v>166</v>
      </c>
      <c r="K30" s="90" t="s">
        <v>167</v>
      </c>
      <c r="L30" s="90" t="s">
        <v>168</v>
      </c>
    </row>
    <row r="31" spans="2:12" x14ac:dyDescent="0.3">
      <c r="G31" s="88" t="s">
        <v>161</v>
      </c>
      <c r="H31" s="88">
        <v>1</v>
      </c>
      <c r="I31" s="88">
        <v>66360743.152204856</v>
      </c>
      <c r="J31" s="88">
        <v>66360743.152204856</v>
      </c>
      <c r="K31" s="88">
        <v>157.32978105403546</v>
      </c>
      <c r="L31" s="88">
        <v>1.5289648092150058E-6</v>
      </c>
    </row>
    <row r="32" spans="2:12" x14ac:dyDescent="0.3">
      <c r="G32" s="88" t="s">
        <v>162</v>
      </c>
      <c r="H32" s="88">
        <v>8</v>
      </c>
      <c r="I32" s="88">
        <v>3374351.2617951473</v>
      </c>
      <c r="J32" s="88">
        <v>421793.90772439342</v>
      </c>
      <c r="K32" s="88"/>
      <c r="L32" s="88"/>
    </row>
    <row r="33" spans="7:15" ht="15" thickBot="1" x14ac:dyDescent="0.35">
      <c r="G33" s="89" t="s">
        <v>12</v>
      </c>
      <c r="H33" s="89">
        <v>9</v>
      </c>
      <c r="I33" s="89">
        <v>69735094.414000005</v>
      </c>
      <c r="J33" s="89"/>
      <c r="K33" s="89"/>
      <c r="L33" s="89"/>
    </row>
    <row r="34" spans="7:15" ht="15" thickBot="1" x14ac:dyDescent="0.35"/>
    <row r="35" spans="7:15" x14ac:dyDescent="0.3">
      <c r="G35" s="90"/>
      <c r="H35" s="90" t="s">
        <v>169</v>
      </c>
      <c r="I35" s="90" t="s">
        <v>158</v>
      </c>
      <c r="J35" s="90" t="s">
        <v>170</v>
      </c>
      <c r="K35" s="90" t="s">
        <v>171</v>
      </c>
      <c r="L35" s="90" t="s">
        <v>172</v>
      </c>
      <c r="M35" s="90" t="s">
        <v>173</v>
      </c>
      <c r="N35" s="90" t="s">
        <v>174</v>
      </c>
      <c r="O35" s="90" t="s">
        <v>175</v>
      </c>
    </row>
    <row r="36" spans="7:15" x14ac:dyDescent="0.3">
      <c r="G36" s="88" t="s">
        <v>163</v>
      </c>
      <c r="H36" s="88">
        <v>2593.184666666667</v>
      </c>
      <c r="I36" s="88">
        <v>443.66333738325761</v>
      </c>
      <c r="J36" s="88">
        <v>5.8449379251424372</v>
      </c>
      <c r="K36" s="88">
        <v>3.8498093347959076E-4</v>
      </c>
      <c r="L36" s="88">
        <v>1570.0951760223934</v>
      </c>
      <c r="M36" s="88">
        <v>3616.2741573109406</v>
      </c>
      <c r="N36" s="88">
        <v>1570.0951760223934</v>
      </c>
      <c r="O36" s="88">
        <v>3616.2741573109406</v>
      </c>
    </row>
    <row r="37" spans="7:15" ht="15" thickBot="1" x14ac:dyDescent="0.35">
      <c r="G37" s="89" t="s">
        <v>150</v>
      </c>
      <c r="H37" s="89">
        <v>896.86824242424257</v>
      </c>
      <c r="I37" s="89">
        <v>71.502821111913789</v>
      </c>
      <c r="J37" s="89">
        <v>12.543116879549338</v>
      </c>
      <c r="K37" s="89">
        <v>1.528964809215003E-6</v>
      </c>
      <c r="L37" s="89">
        <v>731.98244126140548</v>
      </c>
      <c r="M37" s="89">
        <v>1061.7540435870797</v>
      </c>
      <c r="N37" s="89">
        <v>731.98244126140548</v>
      </c>
      <c r="O37" s="89">
        <v>1061.7540435870797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F08F-A738-4F2F-853D-D46CEC3D07A0}">
  <sheetPr>
    <pageSetUpPr fitToPage="1"/>
  </sheetPr>
  <dimension ref="B6:N48"/>
  <sheetViews>
    <sheetView showGridLines="0" workbookViewId="0">
      <selection activeCell="I58" sqref="I58"/>
    </sheetView>
  </sheetViews>
  <sheetFormatPr defaultRowHeight="14.4" x14ac:dyDescent="0.3"/>
  <cols>
    <col min="1" max="1" width="1.88671875" customWidth="1"/>
    <col min="2" max="2" width="37.44140625" customWidth="1"/>
    <col min="3" max="3" width="9.88671875" customWidth="1"/>
    <col min="4" max="4" width="10" customWidth="1"/>
    <col min="5" max="5" width="9.77734375" customWidth="1"/>
    <col min="6" max="6" width="7.44140625" bestFit="1" customWidth="1"/>
    <col min="7" max="7" width="9.5546875" customWidth="1"/>
    <col min="8" max="8" width="10.6640625" bestFit="1" customWidth="1"/>
    <col min="9" max="9" width="17.5546875" bestFit="1" customWidth="1"/>
    <col min="12" max="12" width="9.33203125" bestFit="1" customWidth="1"/>
    <col min="13" max="13" width="20.21875" bestFit="1" customWidth="1"/>
  </cols>
  <sheetData>
    <row r="6" spans="2:14" x14ac:dyDescent="0.3">
      <c r="F6" t="s">
        <v>180</v>
      </c>
    </row>
    <row r="7" spans="2:14" x14ac:dyDescent="0.3">
      <c r="B7" s="103" t="s">
        <v>181</v>
      </c>
      <c r="C7" s="103"/>
      <c r="D7" s="103"/>
      <c r="E7" s="103"/>
      <c r="F7" s="104"/>
      <c r="G7" s="104"/>
      <c r="H7" s="104"/>
      <c r="I7" s="104"/>
      <c r="J7" s="104"/>
      <c r="K7" s="104"/>
    </row>
    <row r="9" spans="2:14" x14ac:dyDescent="0.3">
      <c r="B9" s="105" t="s">
        <v>182</v>
      </c>
      <c r="C9" s="105"/>
      <c r="D9" s="105"/>
      <c r="E9" s="105"/>
    </row>
    <row r="11" spans="2:14" x14ac:dyDescent="0.3">
      <c r="B11" t="s">
        <v>183</v>
      </c>
    </row>
    <row r="12" spans="2:14" x14ac:dyDescent="0.3">
      <c r="B12" s="106"/>
      <c r="C12" s="106"/>
      <c r="D12" s="106"/>
      <c r="E12" s="106"/>
      <c r="F12" s="106"/>
      <c r="G12" s="106"/>
      <c r="H12" s="106"/>
      <c r="I12" s="106"/>
      <c r="J12" s="106" t="s">
        <v>184</v>
      </c>
      <c r="K12" s="106" t="s">
        <v>184</v>
      </c>
      <c r="L12" s="106" t="s">
        <v>185</v>
      </c>
      <c r="M12" s="106" t="s">
        <v>186</v>
      </c>
    </row>
    <row r="13" spans="2:14" ht="16.2" x14ac:dyDescent="0.3">
      <c r="B13" s="107" t="s">
        <v>187</v>
      </c>
      <c r="C13" s="107"/>
      <c r="D13" s="107"/>
      <c r="E13" s="107"/>
      <c r="F13" s="107" t="s">
        <v>188</v>
      </c>
      <c r="G13" s="107" t="s">
        <v>189</v>
      </c>
      <c r="H13" s="107" t="s">
        <v>190</v>
      </c>
      <c r="I13" s="108" t="s">
        <v>191</v>
      </c>
      <c r="J13" s="107" t="s">
        <v>192</v>
      </c>
      <c r="K13" s="107" t="s">
        <v>193</v>
      </c>
      <c r="L13" s="107" t="s">
        <v>194</v>
      </c>
      <c r="M13" s="107" t="s">
        <v>195</v>
      </c>
    </row>
    <row r="15" spans="2:14" x14ac:dyDescent="0.3">
      <c r="B15" s="109" t="s">
        <v>237</v>
      </c>
      <c r="C15" s="109"/>
      <c r="D15" s="109"/>
      <c r="E15" s="109"/>
      <c r="F15" s="109" t="s">
        <v>196</v>
      </c>
      <c r="G15" s="109">
        <f>'Peer Companies'!F5</f>
        <v>2290.29</v>
      </c>
      <c r="H15" s="109">
        <f>'Peer Companies'!E5</f>
        <v>223119.01</v>
      </c>
      <c r="I15" s="110">
        <v>0.3</v>
      </c>
      <c r="J15" s="111">
        <f>G15/H15</f>
        <v>1.0264880612369156E-2</v>
      </c>
      <c r="K15" s="111">
        <f>G15/(H15+G15)</f>
        <v>1.0160583436442062E-2</v>
      </c>
      <c r="L15" s="136">
        <v>0.52</v>
      </c>
      <c r="M15" s="112">
        <f>L15/(1+(1-I15)*J15)</f>
        <v>0.51629023963020515</v>
      </c>
      <c r="N15" s="109" t="s">
        <v>197</v>
      </c>
    </row>
    <row r="16" spans="2:14" x14ac:dyDescent="0.3">
      <c r="B16" s="109" t="s">
        <v>238</v>
      </c>
      <c r="C16" s="109"/>
      <c r="D16" s="109"/>
      <c r="E16" s="109"/>
      <c r="F16" s="109" t="s">
        <v>196</v>
      </c>
      <c r="G16" s="109">
        <f>'Peer Companies'!F6</f>
        <v>670.27</v>
      </c>
      <c r="H16" s="109">
        <f>'Peer Companies'!E6</f>
        <v>62282.09</v>
      </c>
      <c r="I16" s="110">
        <v>0.3</v>
      </c>
      <c r="J16" s="111">
        <f t="shared" ref="J16:J19" si="0">G16/H16</f>
        <v>1.0761841807171211E-2</v>
      </c>
      <c r="K16" s="111">
        <f t="shared" ref="K16:K19" si="1">G16/(H16+G16)</f>
        <v>1.064725770407972E-2</v>
      </c>
      <c r="L16" s="112">
        <f>'Beta Calculation'!N10</f>
        <v>0.89971614278712209</v>
      </c>
      <c r="M16" s="112">
        <f t="shared" ref="M16:M19" si="2">L16/(1+(1-I16)*J16)</f>
        <v>0.89298899835205559</v>
      </c>
    </row>
    <row r="17" spans="2:13" x14ac:dyDescent="0.3">
      <c r="B17" s="109" t="s">
        <v>239</v>
      </c>
      <c r="C17" s="109"/>
      <c r="D17" s="109"/>
      <c r="E17" s="109"/>
      <c r="F17" s="109" t="s">
        <v>196</v>
      </c>
      <c r="G17" s="109">
        <f>'Peer Companies'!F7</f>
        <v>296.39</v>
      </c>
      <c r="H17" s="109">
        <f>'Peer Companies'!E7</f>
        <v>19800.509999999998</v>
      </c>
      <c r="I17" s="110">
        <v>0.3</v>
      </c>
      <c r="J17" s="111">
        <f t="shared" si="0"/>
        <v>1.4968806359028126E-2</v>
      </c>
      <c r="K17" s="111">
        <f t="shared" si="1"/>
        <v>1.4748045718493898E-2</v>
      </c>
      <c r="L17" s="137">
        <v>0.77</v>
      </c>
      <c r="M17" s="112">
        <f t="shared" si="2"/>
        <v>0.76201547652254609</v>
      </c>
    </row>
    <row r="18" spans="2:13" x14ac:dyDescent="0.3">
      <c r="B18" s="109" t="s">
        <v>240</v>
      </c>
      <c r="C18" s="109"/>
      <c r="D18" s="109"/>
      <c r="E18" s="109"/>
      <c r="F18" s="109" t="s">
        <v>196</v>
      </c>
      <c r="G18" s="109">
        <f>'Peer Companies'!F8</f>
        <v>62.1</v>
      </c>
      <c r="H18" s="109">
        <f>'Peer Companies'!E8</f>
        <v>15141.96</v>
      </c>
      <c r="I18" s="110">
        <v>0.3</v>
      </c>
      <c r="J18" s="111">
        <f t="shared" si="0"/>
        <v>4.1011863721737481E-3</v>
      </c>
      <c r="K18" s="111">
        <f t="shared" si="1"/>
        <v>4.0844353416127008E-3</v>
      </c>
      <c r="L18" s="137">
        <v>0.32</v>
      </c>
      <c r="M18" s="112">
        <f t="shared" si="2"/>
        <v>0.31908396403657979</v>
      </c>
    </row>
    <row r="19" spans="2:13" x14ac:dyDescent="0.3">
      <c r="B19" s="109" t="s">
        <v>241</v>
      </c>
      <c r="C19" s="109"/>
      <c r="D19" s="109"/>
      <c r="E19" s="109"/>
      <c r="F19" s="109" t="s">
        <v>196</v>
      </c>
      <c r="G19" s="109">
        <f>'Peer Companies'!F9</f>
        <v>19.7</v>
      </c>
      <c r="H19" s="109">
        <f>'Peer Companies'!E9</f>
        <v>4893.42</v>
      </c>
      <c r="I19" s="110">
        <v>0.3</v>
      </c>
      <c r="J19" s="111">
        <f t="shared" si="0"/>
        <v>4.0258142566957263E-3</v>
      </c>
      <c r="K19" s="111">
        <f t="shared" si="1"/>
        <v>4.0096720617448789E-3</v>
      </c>
      <c r="L19" s="137">
        <v>0.9</v>
      </c>
      <c r="M19" s="112">
        <f t="shared" si="2"/>
        <v>0.89747086429967349</v>
      </c>
    </row>
    <row r="21" spans="2:13" x14ac:dyDescent="0.3">
      <c r="H21" s="113" t="s">
        <v>198</v>
      </c>
      <c r="I21" s="114">
        <f>AVERAGE(I15:I19)</f>
        <v>0.3</v>
      </c>
      <c r="J21" s="114">
        <f t="shared" ref="J21:M21" si="3">AVERAGE(J15:J19)</f>
        <v>8.8245058814875928E-3</v>
      </c>
      <c r="K21" s="114">
        <f t="shared" si="3"/>
        <v>8.7299988524746526E-3</v>
      </c>
      <c r="L21" s="115">
        <f t="shared" si="3"/>
        <v>0.6819432285574244</v>
      </c>
      <c r="M21" s="115">
        <f t="shared" si="3"/>
        <v>0.67756990856821209</v>
      </c>
    </row>
    <row r="22" spans="2:13" x14ac:dyDescent="0.3">
      <c r="H22" s="116" t="s">
        <v>149</v>
      </c>
      <c r="I22" s="117">
        <f>MEDIAN(I15:I19)</f>
        <v>0.3</v>
      </c>
      <c r="J22" s="117">
        <f t="shared" ref="J22:M22" si="4">MEDIAN(J15:J19)</f>
        <v>1.0264880612369156E-2</v>
      </c>
      <c r="K22" s="117">
        <f t="shared" si="4"/>
        <v>1.0160583436442062E-2</v>
      </c>
      <c r="L22" s="118">
        <f t="shared" si="4"/>
        <v>0.77</v>
      </c>
      <c r="M22" s="118">
        <f t="shared" si="4"/>
        <v>0.76201547652254609</v>
      </c>
    </row>
    <row r="25" spans="2:13" x14ac:dyDescent="0.3">
      <c r="B25" s="116" t="s">
        <v>199</v>
      </c>
      <c r="C25" s="116"/>
      <c r="D25" s="116"/>
      <c r="E25" s="116"/>
      <c r="F25" s="107"/>
      <c r="G25" s="107"/>
      <c r="I25" s="116" t="s">
        <v>200</v>
      </c>
      <c r="J25" s="116"/>
      <c r="K25" s="116"/>
      <c r="L25" s="116"/>
      <c r="M25" s="116"/>
    </row>
    <row r="26" spans="2:13" x14ac:dyDescent="0.3">
      <c r="B26" t="s">
        <v>201</v>
      </c>
      <c r="G26" s="111">
        <f>63/670</f>
        <v>9.4029850746268656E-2</v>
      </c>
      <c r="I26" t="s">
        <v>202</v>
      </c>
      <c r="M26" s="110">
        <v>6.5140000000000003E-2</v>
      </c>
    </row>
    <row r="27" spans="2:13" x14ac:dyDescent="0.3">
      <c r="B27" t="s">
        <v>203</v>
      </c>
      <c r="G27" s="110">
        <v>0.3</v>
      </c>
      <c r="I27" t="s">
        <v>204</v>
      </c>
      <c r="M27" s="138">
        <f>'Market Returns'!F5-WACC!M26</f>
        <v>0.1145016666666667</v>
      </c>
    </row>
    <row r="28" spans="2:13" ht="16.2" x14ac:dyDescent="0.3">
      <c r="B28" s="119" t="s">
        <v>205</v>
      </c>
      <c r="C28" s="119"/>
      <c r="D28" s="119"/>
      <c r="E28" s="119"/>
      <c r="F28" s="119"/>
      <c r="G28" s="120">
        <f>G26*G27</f>
        <v>2.8208955223880595E-2</v>
      </c>
      <c r="I28" t="s">
        <v>206</v>
      </c>
      <c r="M28" s="112">
        <f>L22</f>
        <v>0.77</v>
      </c>
    </row>
    <row r="29" spans="2:13" x14ac:dyDescent="0.3">
      <c r="I29" s="119" t="s">
        <v>200</v>
      </c>
      <c r="J29" s="119"/>
      <c r="K29" s="119"/>
      <c r="L29" s="119"/>
      <c r="M29" s="121">
        <f>M26+M27*M28</f>
        <v>0.15330628333333335</v>
      </c>
    </row>
    <row r="32" spans="2:13" x14ac:dyDescent="0.3">
      <c r="B32" s="116" t="s">
        <v>207</v>
      </c>
      <c r="C32" s="116"/>
      <c r="D32" s="116"/>
      <c r="E32" s="116"/>
      <c r="I32" s="116" t="s">
        <v>208</v>
      </c>
      <c r="J32" s="116"/>
      <c r="K32" s="116"/>
      <c r="L32" s="116"/>
      <c r="M32" s="116"/>
    </row>
    <row r="34" spans="2:13" x14ac:dyDescent="0.3">
      <c r="D34" s="116" t="s">
        <v>209</v>
      </c>
      <c r="E34" s="116" t="s">
        <v>210</v>
      </c>
      <c r="I34" t="s">
        <v>211</v>
      </c>
      <c r="M34" s="112">
        <f>M22</f>
        <v>0.76201547652254609</v>
      </c>
    </row>
    <row r="35" spans="2:13" x14ac:dyDescent="0.3">
      <c r="B35" t="s">
        <v>189</v>
      </c>
      <c r="C35" s="109">
        <f>G16</f>
        <v>670.27</v>
      </c>
      <c r="D35" s="111">
        <f>C35/C37</f>
        <v>1.064725770407972E-2</v>
      </c>
      <c r="E35" s="138">
        <f>K22</f>
        <v>1.0160583436442062E-2</v>
      </c>
      <c r="I35" t="s">
        <v>212</v>
      </c>
      <c r="M35" s="63">
        <f>E39</f>
        <v>1.0264880612369156E-2</v>
      </c>
    </row>
    <row r="36" spans="2:13" x14ac:dyDescent="0.3">
      <c r="B36" t="s">
        <v>43</v>
      </c>
      <c r="C36" s="109">
        <f>H16</f>
        <v>62282.09</v>
      </c>
      <c r="D36" s="111">
        <f>C36/C37</f>
        <v>0.9893527422959203</v>
      </c>
      <c r="E36" s="63">
        <f>E37-E35</f>
        <v>0.98983941656355789</v>
      </c>
      <c r="I36" t="s">
        <v>203</v>
      </c>
      <c r="M36" s="63">
        <f>I19</f>
        <v>0.3</v>
      </c>
    </row>
    <row r="37" spans="2:13" x14ac:dyDescent="0.3">
      <c r="B37" s="119" t="s">
        <v>213</v>
      </c>
      <c r="C37" s="119">
        <f>SUM(C35:C36)</f>
        <v>62952.359999999993</v>
      </c>
      <c r="D37" s="122">
        <f>SUM(D35:D36)</f>
        <v>1</v>
      </c>
      <c r="E37" s="120">
        <v>1</v>
      </c>
      <c r="I37" s="119" t="s">
        <v>208</v>
      </c>
      <c r="J37" s="119"/>
      <c r="K37" s="119"/>
      <c r="L37" s="119"/>
      <c r="M37" s="123">
        <f>M34*(1+(1-M36)*M35)</f>
        <v>0.7674908750464432</v>
      </c>
    </row>
    <row r="39" spans="2:13" x14ac:dyDescent="0.3">
      <c r="B39" t="s">
        <v>214</v>
      </c>
      <c r="D39" s="63"/>
      <c r="E39" s="63">
        <f>E35/E36</f>
        <v>1.0264880612369156E-2</v>
      </c>
    </row>
    <row r="40" spans="2:13" x14ac:dyDescent="0.3">
      <c r="I40" s="116" t="s">
        <v>181</v>
      </c>
      <c r="J40" s="107"/>
      <c r="K40" s="107"/>
      <c r="L40" s="107"/>
      <c r="M40" s="107"/>
    </row>
    <row r="42" spans="2:13" x14ac:dyDescent="0.3">
      <c r="I42" t="s">
        <v>190</v>
      </c>
      <c r="L42" s="9"/>
      <c r="M42" s="124">
        <f>M29</f>
        <v>0.15330628333333335</v>
      </c>
    </row>
    <row r="43" spans="2:13" x14ac:dyDescent="0.3">
      <c r="I43" t="s">
        <v>215</v>
      </c>
      <c r="L43" s="63"/>
      <c r="M43" s="63">
        <f>E36</f>
        <v>0.98983941656355789</v>
      </c>
    </row>
    <row r="44" spans="2:13" x14ac:dyDescent="0.3">
      <c r="L44" s="63"/>
      <c r="M44" s="63"/>
    </row>
    <row r="45" spans="2:13" x14ac:dyDescent="0.3">
      <c r="I45" t="s">
        <v>189</v>
      </c>
      <c r="M45" s="125">
        <f>G28</f>
        <v>2.8208955223880595E-2</v>
      </c>
    </row>
    <row r="46" spans="2:13" x14ac:dyDescent="0.3">
      <c r="I46" t="s">
        <v>216</v>
      </c>
      <c r="M46" s="63">
        <f>E35</f>
        <v>1.0160583436442062E-2</v>
      </c>
    </row>
    <row r="48" spans="2:13" x14ac:dyDescent="0.3">
      <c r="I48" s="126" t="s">
        <v>217</v>
      </c>
      <c r="J48" s="126"/>
      <c r="K48" s="126"/>
      <c r="L48" s="126"/>
      <c r="M48" s="127">
        <f>(M42*M43)+(M45*M46)</f>
        <v>0.15203522149340129</v>
      </c>
    </row>
  </sheetData>
  <pageMargins left="0.7" right="0.7" top="0.75" bottom="0.75" header="0.3" footer="0.3"/>
  <pageSetup scale="64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E972-1B2D-4F21-9E4D-EFAA00215A60}">
  <dimension ref="B3:R110"/>
  <sheetViews>
    <sheetView showGridLines="0" workbookViewId="0">
      <selection activeCell="N16" sqref="N16"/>
    </sheetView>
  </sheetViews>
  <sheetFormatPr defaultRowHeight="14.4" x14ac:dyDescent="0.3"/>
  <cols>
    <col min="1" max="1" width="1.88671875" customWidth="1"/>
    <col min="2" max="2" width="13" customWidth="1"/>
    <col min="3" max="3" width="7.33203125" bestFit="1" customWidth="1"/>
    <col min="4" max="4" width="13.21875" customWidth="1"/>
    <col min="6" max="6" width="11.109375" customWidth="1"/>
    <col min="7" max="7" width="11.44140625" bestFit="1" customWidth="1"/>
    <col min="11" max="11" width="23.88671875" customWidth="1"/>
    <col min="12" max="12" width="17.5546875" customWidth="1"/>
    <col min="13" max="13" width="15.33203125" customWidth="1"/>
    <col min="14" max="14" width="12" bestFit="1" customWidth="1"/>
    <col min="15" max="15" width="14.77734375" customWidth="1"/>
  </cols>
  <sheetData>
    <row r="3" spans="2:14" x14ac:dyDescent="0.3">
      <c r="B3" s="143" t="s">
        <v>222</v>
      </c>
      <c r="C3" s="143"/>
      <c r="D3" s="143"/>
      <c r="F3" s="144" t="s">
        <v>223</v>
      </c>
      <c r="G3" s="144"/>
      <c r="J3" s="144" t="s">
        <v>224</v>
      </c>
      <c r="K3" s="144"/>
      <c r="M3" s="144" t="s">
        <v>229</v>
      </c>
      <c r="N3" s="144"/>
    </row>
    <row r="5" spans="2:14" ht="16.2" x14ac:dyDescent="0.3">
      <c r="B5" s="128" t="s">
        <v>219</v>
      </c>
      <c r="C5" s="130" t="s">
        <v>220</v>
      </c>
      <c r="D5" s="131" t="s">
        <v>221</v>
      </c>
      <c r="F5" s="130" t="s">
        <v>220</v>
      </c>
      <c r="G5" s="131" t="s">
        <v>221</v>
      </c>
      <c r="J5" s="132" t="s">
        <v>225</v>
      </c>
      <c r="K5" s="133">
        <f>SLOPE(D7:D110,G7:G110)</f>
        <v>0.85032260117480873</v>
      </c>
      <c r="M5" s="11" t="s">
        <v>208</v>
      </c>
      <c r="N5" s="134">
        <f>K7</f>
        <v>0.85032260117480896</v>
      </c>
    </row>
    <row r="6" spans="2:14" ht="16.2" x14ac:dyDescent="0.3">
      <c r="B6" s="129">
        <v>44969</v>
      </c>
      <c r="C6" s="130">
        <v>474.13</v>
      </c>
      <c r="D6" s="131"/>
      <c r="F6" s="130">
        <v>17944.2</v>
      </c>
      <c r="G6" s="131"/>
      <c r="J6" s="132" t="s">
        <v>226</v>
      </c>
      <c r="K6" s="133">
        <f>_xlfn.COVARIANCE.S(G7:G110,D7:D110)/_xlfn.VAR.S(G7:G110)</f>
        <v>0.85032260117480896</v>
      </c>
      <c r="M6" s="11" t="s">
        <v>230</v>
      </c>
      <c r="N6" s="62">
        <v>0.67</v>
      </c>
    </row>
    <row r="7" spans="2:14" ht="16.2" x14ac:dyDescent="0.3">
      <c r="B7" s="129">
        <v>44976</v>
      </c>
      <c r="C7" s="130">
        <v>465.04</v>
      </c>
      <c r="D7" s="131">
        <v>-1.9199999999999998E-2</v>
      </c>
      <c r="F7" s="130">
        <v>17465.8</v>
      </c>
      <c r="G7" s="131">
        <v>-2.6700000000000002E-2</v>
      </c>
      <c r="J7" s="132" t="s">
        <v>227</v>
      </c>
      <c r="K7" s="133">
        <f>K29</f>
        <v>0.85032260117480896</v>
      </c>
      <c r="M7" s="11"/>
      <c r="N7" s="11"/>
    </row>
    <row r="8" spans="2:14" x14ac:dyDescent="0.3">
      <c r="B8" s="129">
        <v>44983</v>
      </c>
      <c r="C8" s="130">
        <v>483.96</v>
      </c>
      <c r="D8" s="131">
        <v>4.07E-2</v>
      </c>
      <c r="F8" s="130">
        <v>17594.349999999999</v>
      </c>
      <c r="G8" s="131">
        <v>7.4000000000000003E-3</v>
      </c>
      <c r="M8" s="11" t="s">
        <v>231</v>
      </c>
      <c r="N8" s="11">
        <v>1</v>
      </c>
    </row>
    <row r="9" spans="2:14" x14ac:dyDescent="0.3">
      <c r="B9" s="129">
        <v>44990</v>
      </c>
      <c r="C9" s="130">
        <v>490.92</v>
      </c>
      <c r="D9" s="131">
        <v>1.44E-2</v>
      </c>
      <c r="F9" s="130">
        <v>17412.900000000001</v>
      </c>
      <c r="G9" s="131">
        <v>-1.03E-2</v>
      </c>
      <c r="M9" s="11" t="s">
        <v>232</v>
      </c>
      <c r="N9" s="62">
        <v>0.33</v>
      </c>
    </row>
    <row r="10" spans="2:14" ht="15" thickBot="1" x14ac:dyDescent="0.35">
      <c r="B10" s="129">
        <v>44997</v>
      </c>
      <c r="C10" s="130">
        <v>494.54</v>
      </c>
      <c r="D10" s="131">
        <v>7.4000000000000003E-3</v>
      </c>
      <c r="F10" s="130">
        <v>17100.05</v>
      </c>
      <c r="G10" s="131">
        <v>-1.7999999999999999E-2</v>
      </c>
      <c r="M10" s="44" t="s">
        <v>233</v>
      </c>
      <c r="N10" s="135">
        <f>(N5*N6)+(N8*N9)</f>
        <v>0.89971614278712209</v>
      </c>
    </row>
    <row r="11" spans="2:14" ht="15" thickTop="1" x14ac:dyDescent="0.3">
      <c r="B11" s="129">
        <v>45004</v>
      </c>
      <c r="C11" s="130">
        <v>478.08</v>
      </c>
      <c r="D11" s="131">
        <v>-3.3300000000000003E-2</v>
      </c>
      <c r="F11" s="130">
        <v>16945.05</v>
      </c>
      <c r="G11" s="131">
        <v>-9.1000000000000004E-3</v>
      </c>
    </row>
    <row r="12" spans="2:14" x14ac:dyDescent="0.3">
      <c r="B12" s="129">
        <v>45011</v>
      </c>
      <c r="C12" s="130">
        <v>484.75</v>
      </c>
      <c r="D12" s="131">
        <v>1.3899999999999999E-2</v>
      </c>
      <c r="F12" s="130">
        <v>17359.75</v>
      </c>
      <c r="G12" s="131">
        <v>2.4500000000000001E-2</v>
      </c>
      <c r="J12" t="s">
        <v>153</v>
      </c>
    </row>
    <row r="13" spans="2:14" ht="15" thickBot="1" x14ac:dyDescent="0.35">
      <c r="B13" s="129">
        <v>45018</v>
      </c>
      <c r="C13" s="130">
        <v>497.67</v>
      </c>
      <c r="D13" s="131">
        <v>2.6599999999999999E-2</v>
      </c>
      <c r="F13" s="130">
        <v>17599.150000000001</v>
      </c>
      <c r="G13" s="131">
        <v>1.38E-2</v>
      </c>
    </row>
    <row r="14" spans="2:14" x14ac:dyDescent="0.3">
      <c r="B14" s="129">
        <v>45025</v>
      </c>
      <c r="C14" s="130">
        <v>482.17</v>
      </c>
      <c r="D14" s="131">
        <v>-3.1099999999999999E-2</v>
      </c>
      <c r="F14" s="130">
        <v>17828</v>
      </c>
      <c r="G14" s="131">
        <v>1.2999999999999999E-2</v>
      </c>
      <c r="J14" s="91" t="s">
        <v>154</v>
      </c>
      <c r="K14" s="91"/>
    </row>
    <row r="15" spans="2:14" x14ac:dyDescent="0.3">
      <c r="B15" s="129">
        <v>45032</v>
      </c>
      <c r="C15" s="130">
        <v>487.17</v>
      </c>
      <c r="D15" s="131">
        <v>1.04E-2</v>
      </c>
      <c r="F15" s="130">
        <v>17624.05</v>
      </c>
      <c r="G15" s="131">
        <v>-1.14E-2</v>
      </c>
      <c r="J15" s="88" t="s">
        <v>155</v>
      </c>
      <c r="K15" s="88">
        <v>0.38964259527181905</v>
      </c>
    </row>
    <row r="16" spans="2:14" x14ac:dyDescent="0.3">
      <c r="B16" s="129">
        <v>45039</v>
      </c>
      <c r="C16" s="130">
        <v>508.63</v>
      </c>
      <c r="D16" s="131">
        <v>4.3999999999999997E-2</v>
      </c>
      <c r="F16" s="130">
        <v>18065</v>
      </c>
      <c r="G16" s="131">
        <v>2.5000000000000001E-2</v>
      </c>
      <c r="J16" s="88" t="s">
        <v>156</v>
      </c>
      <c r="K16" s="88">
        <v>0.15182135205015859</v>
      </c>
    </row>
    <row r="17" spans="2:18" x14ac:dyDescent="0.3">
      <c r="B17" s="129">
        <v>45046</v>
      </c>
      <c r="C17" s="130">
        <v>514.38</v>
      </c>
      <c r="D17" s="131">
        <v>1.1299999999999999E-2</v>
      </c>
      <c r="F17" s="130">
        <v>18069</v>
      </c>
      <c r="G17" s="131">
        <v>2.0000000000000001E-4</v>
      </c>
      <c r="J17" s="88" t="s">
        <v>157</v>
      </c>
      <c r="K17" s="88">
        <v>0.14350587510947388</v>
      </c>
    </row>
    <row r="18" spans="2:18" x14ac:dyDescent="0.3">
      <c r="B18" s="129">
        <v>45053</v>
      </c>
      <c r="C18" s="130">
        <v>528.04</v>
      </c>
      <c r="D18" s="131">
        <v>2.6599999999999999E-2</v>
      </c>
      <c r="F18" s="130">
        <v>18314.8</v>
      </c>
      <c r="G18" s="131">
        <v>1.3599999999999999E-2</v>
      </c>
      <c r="J18" s="88" t="s">
        <v>158</v>
      </c>
      <c r="K18" s="88">
        <v>3.2009229875521357E-2</v>
      </c>
    </row>
    <row r="19" spans="2:18" ht="15" thickBot="1" x14ac:dyDescent="0.35">
      <c r="B19" s="129">
        <v>45060</v>
      </c>
      <c r="C19" s="130">
        <v>521.04</v>
      </c>
      <c r="D19" s="131">
        <v>-1.3299999999999999E-2</v>
      </c>
      <c r="F19" s="130">
        <v>18203.400000000001</v>
      </c>
      <c r="G19" s="131">
        <v>-6.1000000000000004E-3</v>
      </c>
      <c r="J19" s="89" t="s">
        <v>159</v>
      </c>
      <c r="K19" s="89">
        <v>104</v>
      </c>
    </row>
    <row r="20" spans="2:18" x14ac:dyDescent="0.3">
      <c r="B20" s="129">
        <v>45067</v>
      </c>
      <c r="C20" s="130">
        <v>539.25</v>
      </c>
      <c r="D20" s="131">
        <v>3.49E-2</v>
      </c>
      <c r="F20" s="130">
        <v>18499.349999999999</v>
      </c>
      <c r="G20" s="131">
        <v>1.6299999999999999E-2</v>
      </c>
    </row>
    <row r="21" spans="2:18" ht="15" thickBot="1" x14ac:dyDescent="0.35">
      <c r="B21" s="129">
        <v>45074</v>
      </c>
      <c r="C21" s="130">
        <v>543.71</v>
      </c>
      <c r="D21" s="131">
        <v>8.3000000000000001E-3</v>
      </c>
      <c r="F21" s="130">
        <v>18534.099999999999</v>
      </c>
      <c r="G21" s="131">
        <v>1.9E-3</v>
      </c>
      <c r="J21" t="s">
        <v>160</v>
      </c>
    </row>
    <row r="22" spans="2:18" x14ac:dyDescent="0.3">
      <c r="B22" s="129">
        <v>45081</v>
      </c>
      <c r="C22" s="130">
        <v>539.75</v>
      </c>
      <c r="D22" s="131">
        <v>-7.3000000000000001E-3</v>
      </c>
      <c r="F22" s="130">
        <v>18563.400000000001</v>
      </c>
      <c r="G22" s="131">
        <v>1.6000000000000001E-3</v>
      </c>
      <c r="J22" s="90"/>
      <c r="K22" s="90" t="s">
        <v>164</v>
      </c>
      <c r="L22" s="90" t="s">
        <v>165</v>
      </c>
      <c r="M22" s="90" t="s">
        <v>166</v>
      </c>
      <c r="N22" s="90" t="s">
        <v>167</v>
      </c>
      <c r="O22" s="90" t="s">
        <v>168</v>
      </c>
    </row>
    <row r="23" spans="2:18" x14ac:dyDescent="0.3">
      <c r="B23" s="129">
        <v>45088</v>
      </c>
      <c r="C23" s="130">
        <v>561.29</v>
      </c>
      <c r="D23" s="131">
        <v>3.9899999999999998E-2</v>
      </c>
      <c r="F23" s="130">
        <v>18826</v>
      </c>
      <c r="G23" s="131">
        <v>1.41E-2</v>
      </c>
      <c r="J23" s="88" t="s">
        <v>161</v>
      </c>
      <c r="K23" s="88">
        <v>1</v>
      </c>
      <c r="L23" s="88">
        <v>1.8706655221616672E-2</v>
      </c>
      <c r="M23" s="88">
        <v>1.8706655221616672E-2</v>
      </c>
      <c r="N23" s="88">
        <v>18.257684211394999</v>
      </c>
      <c r="O23" s="88">
        <v>4.3442440015853521E-5</v>
      </c>
    </row>
    <row r="24" spans="2:18" x14ac:dyDescent="0.3">
      <c r="B24" s="129">
        <v>45095</v>
      </c>
      <c r="C24" s="130">
        <v>563.04</v>
      </c>
      <c r="D24" s="131">
        <v>3.0999999999999999E-3</v>
      </c>
      <c r="F24" s="130">
        <v>18665.5</v>
      </c>
      <c r="G24" s="131">
        <v>-8.5000000000000006E-3</v>
      </c>
      <c r="J24" s="88" t="s">
        <v>162</v>
      </c>
      <c r="K24" s="88">
        <v>102</v>
      </c>
      <c r="L24" s="88">
        <v>0.10450826131684482</v>
      </c>
      <c r="M24" s="88">
        <v>1.0245907972239688E-3</v>
      </c>
      <c r="N24" s="88"/>
      <c r="O24" s="88"/>
    </row>
    <row r="25" spans="2:18" ht="15" thickBot="1" x14ac:dyDescent="0.35">
      <c r="B25" s="129">
        <v>45102</v>
      </c>
      <c r="C25" s="130">
        <v>565.08000000000004</v>
      </c>
      <c r="D25" s="131">
        <v>3.5999999999999999E-3</v>
      </c>
      <c r="F25" s="130">
        <v>19189.05</v>
      </c>
      <c r="G25" s="131">
        <v>2.8000000000000001E-2</v>
      </c>
      <c r="J25" s="89" t="s">
        <v>12</v>
      </c>
      <c r="K25" s="89">
        <v>103</v>
      </c>
      <c r="L25" s="89">
        <v>0.12321491653846149</v>
      </c>
      <c r="M25" s="89"/>
      <c r="N25" s="89"/>
      <c r="O25" s="89"/>
    </row>
    <row r="26" spans="2:18" ht="15" thickBot="1" x14ac:dyDescent="0.35">
      <c r="B26" s="129">
        <v>45109</v>
      </c>
      <c r="C26" s="130">
        <v>560.71</v>
      </c>
      <c r="D26" s="131">
        <v>-7.7000000000000002E-3</v>
      </c>
      <c r="F26" s="130">
        <v>19331.8</v>
      </c>
      <c r="G26" s="131">
        <v>7.4000000000000003E-3</v>
      </c>
    </row>
    <row r="27" spans="2:18" x14ac:dyDescent="0.3">
      <c r="B27" s="129">
        <v>45116</v>
      </c>
      <c r="C27" s="130">
        <v>556.75</v>
      </c>
      <c r="D27" s="131">
        <v>-7.1000000000000004E-3</v>
      </c>
      <c r="F27" s="130">
        <v>19564.5</v>
      </c>
      <c r="G27" s="131">
        <v>1.2E-2</v>
      </c>
      <c r="J27" s="90"/>
      <c r="K27" s="90" t="s">
        <v>169</v>
      </c>
      <c r="L27" s="90" t="s">
        <v>158</v>
      </c>
      <c r="M27" s="90" t="s">
        <v>170</v>
      </c>
      <c r="N27" s="90" t="s">
        <v>171</v>
      </c>
      <c r="O27" s="90" t="s">
        <v>172</v>
      </c>
      <c r="P27" s="90" t="s">
        <v>173</v>
      </c>
      <c r="Q27" s="90" t="s">
        <v>174</v>
      </c>
      <c r="R27" s="90" t="s">
        <v>175</v>
      </c>
    </row>
    <row r="28" spans="2:18" x14ac:dyDescent="0.3">
      <c r="B28" s="129">
        <v>45123</v>
      </c>
      <c r="C28" s="130">
        <v>575.96</v>
      </c>
      <c r="D28" s="131">
        <v>3.4500000000000003E-2</v>
      </c>
      <c r="F28" s="130">
        <v>19745</v>
      </c>
      <c r="G28" s="131">
        <v>9.1999999999999998E-3</v>
      </c>
      <c r="J28" s="88" t="s">
        <v>163</v>
      </c>
      <c r="K28" s="88">
        <v>-1.4176762296485867E-3</v>
      </c>
      <c r="L28" s="88">
        <v>3.177439783095223E-3</v>
      </c>
      <c r="M28" s="88">
        <v>-0.4461693458963345</v>
      </c>
      <c r="N28" s="88">
        <v>0.65642064186446714</v>
      </c>
      <c r="O28" s="88">
        <v>-7.7201129737870314E-3</v>
      </c>
      <c r="P28" s="88">
        <v>4.8847605144898571E-3</v>
      </c>
      <c r="Q28" s="88">
        <v>-7.7201129737870314E-3</v>
      </c>
      <c r="R28" s="88">
        <v>4.8847605144898571E-3</v>
      </c>
    </row>
    <row r="29" spans="2:18" ht="15" thickBot="1" x14ac:dyDescent="0.35">
      <c r="B29" s="129">
        <v>45130</v>
      </c>
      <c r="C29" s="130">
        <v>566.38</v>
      </c>
      <c r="D29" s="131">
        <v>-1.66E-2</v>
      </c>
      <c r="F29" s="130">
        <v>19646.05</v>
      </c>
      <c r="G29" s="131">
        <v>-5.0000000000000001E-3</v>
      </c>
      <c r="J29" s="89" t="s">
        <v>228</v>
      </c>
      <c r="K29" s="89">
        <v>0.85032260117480896</v>
      </c>
      <c r="L29" s="89">
        <v>0.19900357437164107</v>
      </c>
      <c r="M29" s="89">
        <v>4.272901146925248</v>
      </c>
      <c r="N29" s="89">
        <v>4.34424400158514E-5</v>
      </c>
      <c r="O29" s="89">
        <v>0.45559995497159322</v>
      </c>
      <c r="P29" s="89">
        <v>1.2450452473780247</v>
      </c>
      <c r="Q29" s="89">
        <v>0.45559995497159322</v>
      </c>
      <c r="R29" s="89">
        <v>1.2450452473780247</v>
      </c>
    </row>
    <row r="30" spans="2:18" x14ac:dyDescent="0.3">
      <c r="B30" s="129">
        <v>45137</v>
      </c>
      <c r="C30" s="130">
        <v>587.21</v>
      </c>
      <c r="D30" s="131">
        <v>3.6799999999999999E-2</v>
      </c>
      <c r="F30" s="130">
        <v>19517</v>
      </c>
      <c r="G30" s="131">
        <v>-6.6E-3</v>
      </c>
    </row>
    <row r="31" spans="2:18" x14ac:dyDescent="0.3">
      <c r="B31" s="129">
        <v>45144</v>
      </c>
      <c r="C31" s="130">
        <v>583.91999999999996</v>
      </c>
      <c r="D31" s="131">
        <v>-5.5999999999999999E-3</v>
      </c>
      <c r="F31" s="130">
        <v>19428.3</v>
      </c>
      <c r="G31" s="131">
        <v>-4.4999999999999997E-3</v>
      </c>
    </row>
    <row r="32" spans="2:18" x14ac:dyDescent="0.3">
      <c r="B32" s="129">
        <v>45151</v>
      </c>
      <c r="C32" s="130">
        <v>587.71</v>
      </c>
      <c r="D32" s="131">
        <v>6.4999999999999997E-3</v>
      </c>
      <c r="F32" s="130">
        <v>19310.150000000001</v>
      </c>
      <c r="G32" s="131">
        <v>-6.1000000000000004E-3</v>
      </c>
    </row>
    <row r="33" spans="2:7" x14ac:dyDescent="0.3">
      <c r="B33" s="129">
        <v>45158</v>
      </c>
      <c r="C33" s="130">
        <v>586.96</v>
      </c>
      <c r="D33" s="131">
        <v>-1.2999999999999999E-3</v>
      </c>
      <c r="F33" s="130">
        <v>19265.8</v>
      </c>
      <c r="G33" s="131">
        <v>-2.3E-3</v>
      </c>
    </row>
    <row r="34" spans="2:7" x14ac:dyDescent="0.3">
      <c r="B34" s="129">
        <v>45165</v>
      </c>
      <c r="C34" s="130">
        <v>599.88</v>
      </c>
      <c r="D34" s="131">
        <v>2.1999999999999999E-2</v>
      </c>
      <c r="F34" s="130">
        <v>19435.3</v>
      </c>
      <c r="G34" s="131">
        <v>8.8000000000000005E-3</v>
      </c>
    </row>
    <row r="35" spans="2:7" x14ac:dyDescent="0.3">
      <c r="B35" s="129">
        <v>45172</v>
      </c>
      <c r="C35" s="130">
        <v>597.41999999999996</v>
      </c>
      <c r="D35" s="131">
        <v>-4.1000000000000003E-3</v>
      </c>
      <c r="F35" s="130">
        <v>19819.95</v>
      </c>
      <c r="G35" s="131">
        <v>1.9800000000000002E-2</v>
      </c>
    </row>
    <row r="36" spans="2:7" x14ac:dyDescent="0.3">
      <c r="B36" s="129">
        <v>45179</v>
      </c>
      <c r="C36" s="130">
        <v>599.75</v>
      </c>
      <c r="D36" s="131">
        <v>3.8999999999999998E-3</v>
      </c>
      <c r="F36" s="130">
        <v>20192.349999999999</v>
      </c>
      <c r="G36" s="131">
        <v>1.8800000000000001E-2</v>
      </c>
    </row>
    <row r="37" spans="2:7" x14ac:dyDescent="0.3">
      <c r="B37" s="129">
        <v>45186</v>
      </c>
      <c r="C37" s="130">
        <v>669.3</v>
      </c>
      <c r="D37" s="131">
        <v>0.11600000000000001</v>
      </c>
      <c r="F37" s="130">
        <v>19674.25</v>
      </c>
      <c r="G37" s="131">
        <v>-2.5700000000000001E-2</v>
      </c>
    </row>
    <row r="38" spans="2:7" x14ac:dyDescent="0.3">
      <c r="B38" s="129">
        <v>45193</v>
      </c>
      <c r="C38" s="130">
        <v>568.85</v>
      </c>
      <c r="D38" s="131">
        <v>-0.15010000000000001</v>
      </c>
      <c r="F38" s="130">
        <v>19638.3</v>
      </c>
      <c r="G38" s="131">
        <v>-1.8E-3</v>
      </c>
    </row>
    <row r="39" spans="2:7" x14ac:dyDescent="0.3">
      <c r="B39" s="129">
        <v>45200</v>
      </c>
      <c r="C39" s="130">
        <v>565.35</v>
      </c>
      <c r="D39" s="131">
        <v>-6.1999999999999998E-3</v>
      </c>
      <c r="F39" s="130">
        <v>19653.5</v>
      </c>
      <c r="G39" s="131">
        <v>8.0000000000000004E-4</v>
      </c>
    </row>
    <row r="40" spans="2:7" x14ac:dyDescent="0.3">
      <c r="B40" s="129">
        <v>45207</v>
      </c>
      <c r="C40" s="130">
        <v>568.25</v>
      </c>
      <c r="D40" s="131">
        <v>5.1000000000000004E-3</v>
      </c>
      <c r="F40" s="130">
        <v>19751.05</v>
      </c>
      <c r="G40" s="131">
        <v>5.0000000000000001E-3</v>
      </c>
    </row>
    <row r="41" spans="2:7" x14ac:dyDescent="0.3">
      <c r="B41" s="129">
        <v>45214</v>
      </c>
      <c r="C41" s="130">
        <v>584.25</v>
      </c>
      <c r="D41" s="131">
        <v>2.8199999999999999E-2</v>
      </c>
      <c r="F41" s="130">
        <v>19542.650000000001</v>
      </c>
      <c r="G41" s="131">
        <v>-1.06E-2</v>
      </c>
    </row>
    <row r="42" spans="2:7" x14ac:dyDescent="0.3">
      <c r="B42" s="129">
        <v>45221</v>
      </c>
      <c r="C42" s="130">
        <v>537.54999999999995</v>
      </c>
      <c r="D42" s="131">
        <v>-7.9899999999999999E-2</v>
      </c>
      <c r="F42" s="130">
        <v>19047.25</v>
      </c>
      <c r="G42" s="131">
        <v>-2.53E-2</v>
      </c>
    </row>
    <row r="43" spans="2:7" x14ac:dyDescent="0.3">
      <c r="B43" s="129">
        <v>45228</v>
      </c>
      <c r="C43" s="130">
        <v>553.15</v>
      </c>
      <c r="D43" s="131">
        <v>2.9000000000000001E-2</v>
      </c>
      <c r="F43" s="130">
        <v>19230.599999999999</v>
      </c>
      <c r="G43" s="131">
        <v>9.5999999999999992E-3</v>
      </c>
    </row>
    <row r="44" spans="2:7" x14ac:dyDescent="0.3">
      <c r="B44" s="129">
        <v>45235</v>
      </c>
      <c r="C44" s="130">
        <v>578.4</v>
      </c>
      <c r="D44" s="131">
        <v>4.5600000000000002E-2</v>
      </c>
      <c r="F44" s="130">
        <v>19425.349999999999</v>
      </c>
      <c r="G44" s="131">
        <v>1.01E-2</v>
      </c>
    </row>
    <row r="45" spans="2:7" x14ac:dyDescent="0.3">
      <c r="B45" s="129">
        <v>45242</v>
      </c>
      <c r="C45" s="130">
        <v>587.79999999999995</v>
      </c>
      <c r="D45" s="131">
        <v>1.6299999999999999E-2</v>
      </c>
      <c r="F45" s="130">
        <v>19731.8</v>
      </c>
      <c r="G45" s="131">
        <v>1.5800000000000002E-2</v>
      </c>
    </row>
    <row r="46" spans="2:7" x14ac:dyDescent="0.3">
      <c r="B46" s="129">
        <v>45249</v>
      </c>
      <c r="C46" s="130">
        <v>573.54999999999995</v>
      </c>
      <c r="D46" s="131">
        <v>-2.4199999999999999E-2</v>
      </c>
      <c r="F46" s="130">
        <v>19794.7</v>
      </c>
      <c r="G46" s="131">
        <v>3.2000000000000002E-3</v>
      </c>
    </row>
    <row r="47" spans="2:7" x14ac:dyDescent="0.3">
      <c r="B47" s="129">
        <v>45256</v>
      </c>
      <c r="C47" s="130">
        <v>586.15</v>
      </c>
      <c r="D47" s="131">
        <v>2.1999999999999999E-2</v>
      </c>
      <c r="F47" s="130">
        <v>20267.900000000001</v>
      </c>
      <c r="G47" s="131">
        <v>2.3900000000000001E-2</v>
      </c>
    </row>
    <row r="48" spans="2:7" x14ac:dyDescent="0.3">
      <c r="B48" s="129">
        <v>45263</v>
      </c>
      <c r="C48" s="130">
        <v>578.95000000000005</v>
      </c>
      <c r="D48" s="131">
        <v>-1.23E-2</v>
      </c>
      <c r="F48" s="130">
        <v>20969.400000000001</v>
      </c>
      <c r="G48" s="131">
        <v>3.4599999999999999E-2</v>
      </c>
    </row>
    <row r="49" spans="2:7" x14ac:dyDescent="0.3">
      <c r="B49" s="129">
        <v>45270</v>
      </c>
      <c r="C49" s="130">
        <v>585.79999999999995</v>
      </c>
      <c r="D49" s="131">
        <v>1.18E-2</v>
      </c>
      <c r="F49" s="130">
        <v>21456.65</v>
      </c>
      <c r="G49" s="131">
        <v>2.3199999999999998E-2</v>
      </c>
    </row>
    <row r="50" spans="2:7" x14ac:dyDescent="0.3">
      <c r="B50" s="129">
        <v>45277</v>
      </c>
      <c r="C50" s="130">
        <v>583.15</v>
      </c>
      <c r="D50" s="131">
        <v>-4.4999999999999997E-3</v>
      </c>
      <c r="F50" s="130">
        <v>21349.4</v>
      </c>
      <c r="G50" s="131">
        <v>-5.0000000000000001E-3</v>
      </c>
    </row>
    <row r="51" spans="2:7" x14ac:dyDescent="0.3">
      <c r="B51" s="129">
        <v>45284</v>
      </c>
      <c r="C51" s="130">
        <v>604.65</v>
      </c>
      <c r="D51" s="131">
        <v>3.6900000000000002E-2</v>
      </c>
      <c r="F51" s="130">
        <v>21731.4</v>
      </c>
      <c r="G51" s="131">
        <v>1.7899999999999999E-2</v>
      </c>
    </row>
    <row r="52" spans="2:7" x14ac:dyDescent="0.3">
      <c r="B52" s="129">
        <v>45291</v>
      </c>
      <c r="C52" s="130">
        <v>596.35</v>
      </c>
      <c r="D52" s="131">
        <v>-1.37E-2</v>
      </c>
      <c r="F52" s="130">
        <v>21710.799999999999</v>
      </c>
      <c r="G52" s="131">
        <v>-8.9999999999999998E-4</v>
      </c>
    </row>
    <row r="53" spans="2:7" x14ac:dyDescent="0.3">
      <c r="B53" s="129">
        <v>45298</v>
      </c>
      <c r="C53" s="130">
        <v>595.79999999999995</v>
      </c>
      <c r="D53" s="131">
        <v>-8.9999999999999998E-4</v>
      </c>
      <c r="F53" s="130">
        <v>21894.55</v>
      </c>
      <c r="G53" s="131">
        <v>8.5000000000000006E-3</v>
      </c>
    </row>
    <row r="54" spans="2:7" x14ac:dyDescent="0.3">
      <c r="B54" s="129">
        <v>45305</v>
      </c>
      <c r="C54" s="130">
        <v>579.35</v>
      </c>
      <c r="D54" s="131">
        <v>-2.76E-2</v>
      </c>
      <c r="F54" s="130">
        <v>21622.400000000001</v>
      </c>
      <c r="G54" s="131">
        <v>-1.24E-2</v>
      </c>
    </row>
    <row r="55" spans="2:7" x14ac:dyDescent="0.3">
      <c r="B55" s="129">
        <v>45312</v>
      </c>
      <c r="C55" s="130">
        <v>554.70000000000005</v>
      </c>
      <c r="D55" s="131">
        <v>-4.2500000000000003E-2</v>
      </c>
      <c r="F55" s="130">
        <v>21352.6</v>
      </c>
      <c r="G55" s="131">
        <v>-1.2500000000000001E-2</v>
      </c>
    </row>
    <row r="56" spans="2:7" x14ac:dyDescent="0.3">
      <c r="B56" s="129">
        <v>45319</v>
      </c>
      <c r="C56" s="130">
        <v>569.54999999999995</v>
      </c>
      <c r="D56" s="131">
        <v>2.6800000000000001E-2</v>
      </c>
      <c r="F56" s="130">
        <v>21853.8</v>
      </c>
      <c r="G56" s="131">
        <v>2.35E-2</v>
      </c>
    </row>
    <row r="57" spans="2:7" x14ac:dyDescent="0.3">
      <c r="B57" s="129">
        <v>45326</v>
      </c>
      <c r="C57" s="130">
        <v>554</v>
      </c>
      <c r="D57" s="131">
        <v>-2.7300000000000001E-2</v>
      </c>
      <c r="F57" s="130">
        <v>21782.5</v>
      </c>
      <c r="G57" s="131">
        <v>-3.3E-3</v>
      </c>
    </row>
    <row r="58" spans="2:7" x14ac:dyDescent="0.3">
      <c r="B58" s="129">
        <v>45333</v>
      </c>
      <c r="C58" s="130">
        <v>562.9</v>
      </c>
      <c r="D58" s="131">
        <v>1.61E-2</v>
      </c>
      <c r="F58" s="130">
        <v>22040.7</v>
      </c>
      <c r="G58" s="131">
        <v>1.1900000000000001E-2</v>
      </c>
    </row>
    <row r="59" spans="2:7" x14ac:dyDescent="0.3">
      <c r="B59" s="129">
        <v>45340</v>
      </c>
      <c r="C59" s="130">
        <v>571.9</v>
      </c>
      <c r="D59" s="131">
        <v>1.6E-2</v>
      </c>
      <c r="F59" s="130">
        <v>22212.7</v>
      </c>
      <c r="G59" s="131">
        <v>7.7999999999999996E-3</v>
      </c>
    </row>
    <row r="60" spans="2:7" x14ac:dyDescent="0.3">
      <c r="B60" s="129">
        <v>45347</v>
      </c>
      <c r="C60" s="130">
        <v>589.15</v>
      </c>
      <c r="D60" s="131">
        <v>3.0200000000000001E-2</v>
      </c>
      <c r="F60" s="130">
        <v>22338.75</v>
      </c>
      <c r="G60" s="131">
        <v>5.7000000000000002E-3</v>
      </c>
    </row>
    <row r="61" spans="2:7" x14ac:dyDescent="0.3">
      <c r="B61" s="129">
        <v>45354</v>
      </c>
      <c r="C61" s="130">
        <v>573.4</v>
      </c>
      <c r="D61" s="131">
        <v>-2.6700000000000002E-2</v>
      </c>
      <c r="F61" s="130">
        <v>22493.55</v>
      </c>
      <c r="G61" s="131">
        <v>6.8999999999999999E-3</v>
      </c>
    </row>
    <row r="62" spans="2:7" x14ac:dyDescent="0.3">
      <c r="B62" s="129">
        <v>45361</v>
      </c>
      <c r="C62" s="130">
        <v>557.79999999999995</v>
      </c>
      <c r="D62" s="131">
        <v>-2.7199999999999998E-2</v>
      </c>
      <c r="F62" s="130">
        <v>22023.35</v>
      </c>
      <c r="G62" s="131">
        <v>-2.0899999999999998E-2</v>
      </c>
    </row>
    <row r="63" spans="2:7" x14ac:dyDescent="0.3">
      <c r="B63" s="129">
        <v>45368</v>
      </c>
      <c r="C63" s="130">
        <v>558.35</v>
      </c>
      <c r="D63" s="131">
        <v>1E-3</v>
      </c>
      <c r="F63" s="130">
        <v>22096.75</v>
      </c>
      <c r="G63" s="131">
        <v>3.3E-3</v>
      </c>
    </row>
    <row r="64" spans="2:7" x14ac:dyDescent="0.3">
      <c r="B64" s="129">
        <v>45375</v>
      </c>
      <c r="C64" s="130">
        <v>573.04999999999995</v>
      </c>
      <c r="D64" s="131">
        <v>2.63E-2</v>
      </c>
      <c r="F64" s="130">
        <v>22326.9</v>
      </c>
      <c r="G64" s="131">
        <v>1.04E-2</v>
      </c>
    </row>
    <row r="65" spans="2:7" x14ac:dyDescent="0.3">
      <c r="B65" s="129">
        <v>45382</v>
      </c>
      <c r="C65" s="130">
        <v>562.15</v>
      </c>
      <c r="D65" s="131">
        <v>-1.9E-2</v>
      </c>
      <c r="F65" s="130">
        <v>22513.7</v>
      </c>
      <c r="G65" s="131">
        <v>8.3999999999999995E-3</v>
      </c>
    </row>
    <row r="66" spans="2:7" x14ac:dyDescent="0.3">
      <c r="B66" s="129">
        <v>45389</v>
      </c>
      <c r="C66" s="130">
        <v>556.75</v>
      </c>
      <c r="D66" s="131">
        <v>-9.5999999999999992E-3</v>
      </c>
      <c r="F66" s="130">
        <v>22519.4</v>
      </c>
      <c r="G66" s="131">
        <v>2.9999999999999997E-4</v>
      </c>
    </row>
    <row r="67" spans="2:7" x14ac:dyDescent="0.3">
      <c r="B67" s="129">
        <v>45396</v>
      </c>
      <c r="C67" s="130">
        <v>504.55</v>
      </c>
      <c r="D67" s="131">
        <v>-9.3799999999999994E-2</v>
      </c>
      <c r="F67" s="130">
        <v>22147</v>
      </c>
      <c r="G67" s="131">
        <v>-1.6500000000000001E-2</v>
      </c>
    </row>
    <row r="68" spans="2:7" x14ac:dyDescent="0.3">
      <c r="B68" s="129">
        <v>45403</v>
      </c>
      <c r="C68" s="130">
        <v>503.1</v>
      </c>
      <c r="D68" s="131">
        <v>-2.8999999999999998E-3</v>
      </c>
      <c r="F68" s="130">
        <v>22419.95</v>
      </c>
      <c r="G68" s="131">
        <v>1.23E-2</v>
      </c>
    </row>
    <row r="69" spans="2:7" x14ac:dyDescent="0.3">
      <c r="B69" s="129">
        <v>45410</v>
      </c>
      <c r="C69" s="130">
        <v>523.25</v>
      </c>
      <c r="D69" s="131">
        <v>4.0099999999999997E-2</v>
      </c>
      <c r="F69" s="130">
        <v>22475.85</v>
      </c>
      <c r="G69" s="131">
        <v>2.5000000000000001E-3</v>
      </c>
    </row>
    <row r="70" spans="2:7" x14ac:dyDescent="0.3">
      <c r="B70" s="129">
        <v>45417</v>
      </c>
      <c r="C70" s="130">
        <v>490.25</v>
      </c>
      <c r="D70" s="131">
        <v>-6.3100000000000003E-2</v>
      </c>
      <c r="F70" s="130">
        <v>22055.200000000001</v>
      </c>
      <c r="G70" s="131">
        <v>-1.8700000000000001E-2</v>
      </c>
    </row>
    <row r="71" spans="2:7" x14ac:dyDescent="0.3">
      <c r="B71" s="129">
        <v>45424</v>
      </c>
      <c r="C71" s="130">
        <v>491.85</v>
      </c>
      <c r="D71" s="131">
        <v>3.3E-3</v>
      </c>
      <c r="F71" s="130">
        <v>22466.1</v>
      </c>
      <c r="G71" s="131">
        <v>1.8599999999999998E-2</v>
      </c>
    </row>
    <row r="72" spans="2:7" x14ac:dyDescent="0.3">
      <c r="B72" s="129">
        <v>45431</v>
      </c>
      <c r="C72" s="130">
        <v>487.7</v>
      </c>
      <c r="D72" s="131">
        <v>-8.3999999999999995E-3</v>
      </c>
      <c r="F72" s="130">
        <v>22957.1</v>
      </c>
      <c r="G72" s="131">
        <v>2.1899999999999999E-2</v>
      </c>
    </row>
    <row r="73" spans="2:7" x14ac:dyDescent="0.3">
      <c r="B73" s="129">
        <v>45438</v>
      </c>
      <c r="C73" s="130">
        <v>460</v>
      </c>
      <c r="D73" s="131">
        <v>-5.6800000000000003E-2</v>
      </c>
      <c r="F73" s="130">
        <v>22530.7</v>
      </c>
      <c r="G73" s="131">
        <v>-1.8599999999999998E-2</v>
      </c>
    </row>
    <row r="74" spans="2:7" x14ac:dyDescent="0.3">
      <c r="B74" s="129">
        <v>45445</v>
      </c>
      <c r="C74" s="130">
        <v>482.55</v>
      </c>
      <c r="D74" s="131">
        <v>4.9000000000000002E-2</v>
      </c>
      <c r="F74" s="130">
        <v>23290.15</v>
      </c>
      <c r="G74" s="131">
        <v>3.3700000000000001E-2</v>
      </c>
    </row>
    <row r="75" spans="2:7" x14ac:dyDescent="0.3">
      <c r="B75" s="129">
        <v>45452</v>
      </c>
      <c r="C75" s="130">
        <v>502.7</v>
      </c>
      <c r="D75" s="131">
        <v>4.1799999999999997E-2</v>
      </c>
      <c r="F75" s="130">
        <v>23465.599999999999</v>
      </c>
      <c r="G75" s="131">
        <v>7.4999999999999997E-3</v>
      </c>
    </row>
    <row r="76" spans="2:7" x14ac:dyDescent="0.3">
      <c r="B76" s="129">
        <v>45459</v>
      </c>
      <c r="C76" s="130">
        <v>502.2</v>
      </c>
      <c r="D76" s="131">
        <v>-1E-3</v>
      </c>
      <c r="F76" s="130">
        <v>23501.1</v>
      </c>
      <c r="G76" s="131">
        <v>1.5E-3</v>
      </c>
    </row>
    <row r="77" spans="2:7" x14ac:dyDescent="0.3">
      <c r="B77" s="129">
        <v>45466</v>
      </c>
      <c r="C77" s="130">
        <v>504.2</v>
      </c>
      <c r="D77" s="131">
        <v>4.0000000000000001E-3</v>
      </c>
      <c r="F77" s="130">
        <v>24010.6</v>
      </c>
      <c r="G77" s="131">
        <v>2.1700000000000001E-2</v>
      </c>
    </row>
    <row r="78" spans="2:7" x14ac:dyDescent="0.3">
      <c r="B78" s="129">
        <v>45473</v>
      </c>
      <c r="C78" s="130">
        <v>514.4</v>
      </c>
      <c r="D78" s="131">
        <v>2.0199999999999999E-2</v>
      </c>
      <c r="F78" s="130">
        <v>24323.85</v>
      </c>
      <c r="G78" s="131">
        <v>1.2999999999999999E-2</v>
      </c>
    </row>
    <row r="79" spans="2:7" x14ac:dyDescent="0.3">
      <c r="B79" s="129">
        <v>45480</v>
      </c>
      <c r="C79" s="130">
        <v>526</v>
      </c>
      <c r="D79" s="131">
        <v>2.2599999999999999E-2</v>
      </c>
      <c r="F79" s="130">
        <v>24502.15</v>
      </c>
      <c r="G79" s="131">
        <v>7.3000000000000001E-3</v>
      </c>
    </row>
    <row r="80" spans="2:7" x14ac:dyDescent="0.3">
      <c r="B80" s="129">
        <v>45487</v>
      </c>
      <c r="C80" s="130">
        <v>523.75</v>
      </c>
      <c r="D80" s="131">
        <v>-4.3E-3</v>
      </c>
      <c r="F80" s="130">
        <v>24530.9</v>
      </c>
      <c r="G80" s="131">
        <v>1.1999999999999999E-3</v>
      </c>
    </row>
    <row r="81" spans="2:7" x14ac:dyDescent="0.3">
      <c r="B81" s="129">
        <v>45494</v>
      </c>
      <c r="C81" s="130">
        <v>542.4</v>
      </c>
      <c r="D81" s="131">
        <v>3.56E-2</v>
      </c>
      <c r="F81" s="130">
        <v>24834.85</v>
      </c>
      <c r="G81" s="131">
        <v>1.24E-2</v>
      </c>
    </row>
    <row r="82" spans="2:7" x14ac:dyDescent="0.3">
      <c r="B82" s="129">
        <v>45501</v>
      </c>
      <c r="C82" s="130">
        <v>550.25</v>
      </c>
      <c r="D82" s="131">
        <v>1.4500000000000001E-2</v>
      </c>
      <c r="F82" s="130">
        <v>24717.7</v>
      </c>
      <c r="G82" s="131">
        <v>-4.7000000000000002E-3</v>
      </c>
    </row>
    <row r="83" spans="2:7" x14ac:dyDescent="0.3">
      <c r="B83" s="129">
        <v>45508</v>
      </c>
      <c r="C83" s="130">
        <v>531.65</v>
      </c>
      <c r="D83" s="131">
        <v>-3.3799999999999997E-2</v>
      </c>
      <c r="F83" s="130">
        <v>24367.5</v>
      </c>
      <c r="G83" s="131">
        <v>-1.4200000000000001E-2</v>
      </c>
    </row>
    <row r="84" spans="2:7" x14ac:dyDescent="0.3">
      <c r="B84" s="129">
        <v>45515</v>
      </c>
      <c r="C84" s="130">
        <v>549.9</v>
      </c>
      <c r="D84" s="131">
        <v>3.4299999999999997E-2</v>
      </c>
      <c r="F84" s="130">
        <v>24541.15</v>
      </c>
      <c r="G84" s="131">
        <v>7.1000000000000004E-3</v>
      </c>
    </row>
    <row r="85" spans="2:7" x14ac:dyDescent="0.3">
      <c r="B85" s="129">
        <v>45522</v>
      </c>
      <c r="C85" s="130">
        <v>565.70000000000005</v>
      </c>
      <c r="D85" s="131">
        <v>2.87E-2</v>
      </c>
      <c r="F85" s="130">
        <v>24823.15</v>
      </c>
      <c r="G85" s="131">
        <v>1.15E-2</v>
      </c>
    </row>
    <row r="86" spans="2:7" x14ac:dyDescent="0.3">
      <c r="B86" s="129">
        <v>45529</v>
      </c>
      <c r="C86" s="130">
        <v>571.04999999999995</v>
      </c>
      <c r="D86" s="131">
        <v>9.4999999999999998E-3</v>
      </c>
      <c r="F86" s="130">
        <v>25235.9</v>
      </c>
      <c r="G86" s="131">
        <v>1.66E-2</v>
      </c>
    </row>
    <row r="87" spans="2:7" x14ac:dyDescent="0.3">
      <c r="B87" s="129">
        <v>45536</v>
      </c>
      <c r="C87" s="130">
        <v>596.29999999999995</v>
      </c>
      <c r="D87" s="131">
        <v>4.4200000000000003E-2</v>
      </c>
      <c r="F87" s="130">
        <v>24852.15</v>
      </c>
      <c r="G87" s="131">
        <v>-1.52E-2</v>
      </c>
    </row>
    <row r="88" spans="2:7" x14ac:dyDescent="0.3">
      <c r="B88" s="129">
        <v>45543</v>
      </c>
      <c r="C88" s="130">
        <v>622.65</v>
      </c>
      <c r="D88" s="131">
        <v>4.4200000000000003E-2</v>
      </c>
      <c r="F88" s="130">
        <v>25356.5</v>
      </c>
      <c r="G88" s="131">
        <v>2.0299999999999999E-2</v>
      </c>
    </row>
    <row r="89" spans="2:7" x14ac:dyDescent="0.3">
      <c r="B89" s="129">
        <v>45550</v>
      </c>
      <c r="C89" s="130">
        <v>622.85</v>
      </c>
      <c r="D89" s="131">
        <v>2.9999999999999997E-4</v>
      </c>
      <c r="F89" s="130">
        <v>25790.95</v>
      </c>
      <c r="G89" s="131">
        <v>1.7100000000000001E-2</v>
      </c>
    </row>
    <row r="90" spans="2:7" x14ac:dyDescent="0.3">
      <c r="B90" s="129">
        <v>45557</v>
      </c>
      <c r="C90" s="130">
        <v>617.54999999999995</v>
      </c>
      <c r="D90" s="131">
        <v>-8.5000000000000006E-3</v>
      </c>
      <c r="F90" s="130">
        <v>26178.95</v>
      </c>
      <c r="G90" s="131">
        <v>1.4999999999999999E-2</v>
      </c>
    </row>
    <row r="91" spans="2:7" x14ac:dyDescent="0.3">
      <c r="B91" s="129">
        <v>45564</v>
      </c>
      <c r="C91" s="130">
        <v>576.95000000000005</v>
      </c>
      <c r="D91" s="131">
        <v>-6.5699999999999995E-2</v>
      </c>
      <c r="F91" s="130">
        <v>25014.6</v>
      </c>
      <c r="G91" s="131">
        <v>-4.4499999999999998E-2</v>
      </c>
    </row>
    <row r="92" spans="2:7" x14ac:dyDescent="0.3">
      <c r="B92" s="129">
        <v>45571</v>
      </c>
      <c r="C92" s="130">
        <v>571.54999999999995</v>
      </c>
      <c r="D92" s="131">
        <v>-9.4000000000000004E-3</v>
      </c>
      <c r="F92" s="130">
        <v>24964.25</v>
      </c>
      <c r="G92" s="131">
        <v>-2E-3</v>
      </c>
    </row>
    <row r="93" spans="2:7" x14ac:dyDescent="0.3">
      <c r="B93" s="129">
        <v>45578</v>
      </c>
      <c r="C93" s="130">
        <v>556.35</v>
      </c>
      <c r="D93" s="131">
        <v>-2.6599999999999999E-2</v>
      </c>
      <c r="F93" s="130">
        <v>24854.05</v>
      </c>
      <c r="G93" s="131">
        <v>-4.4000000000000003E-3</v>
      </c>
    </row>
    <row r="94" spans="2:7" x14ac:dyDescent="0.3">
      <c r="B94" s="129">
        <v>45585</v>
      </c>
      <c r="C94" s="130">
        <v>536.95000000000005</v>
      </c>
      <c r="D94" s="131">
        <v>-3.49E-2</v>
      </c>
      <c r="F94" s="130">
        <v>24180.799999999999</v>
      </c>
      <c r="G94" s="131">
        <v>-2.7099999999999999E-2</v>
      </c>
    </row>
    <row r="95" spans="2:7" x14ac:dyDescent="0.3">
      <c r="B95" s="129">
        <v>45592</v>
      </c>
      <c r="C95" s="130">
        <v>531.75</v>
      </c>
      <c r="D95" s="131">
        <v>-9.7000000000000003E-3</v>
      </c>
      <c r="F95" s="130">
        <v>24304.35</v>
      </c>
      <c r="G95" s="131">
        <v>5.1000000000000004E-3</v>
      </c>
    </row>
    <row r="96" spans="2:7" x14ac:dyDescent="0.3">
      <c r="B96" s="129">
        <v>45599</v>
      </c>
      <c r="C96" s="130">
        <v>504.25</v>
      </c>
      <c r="D96" s="131">
        <v>-5.1700000000000003E-2</v>
      </c>
      <c r="F96" s="130">
        <v>24148.2</v>
      </c>
      <c r="G96" s="131">
        <v>-6.4000000000000003E-3</v>
      </c>
    </row>
    <row r="97" spans="2:7" x14ac:dyDescent="0.3">
      <c r="B97" s="129">
        <v>45606</v>
      </c>
      <c r="C97" s="130">
        <v>491.9</v>
      </c>
      <c r="D97" s="131">
        <v>-2.4500000000000001E-2</v>
      </c>
      <c r="F97" s="130">
        <v>23532.7</v>
      </c>
      <c r="G97" s="131">
        <v>-2.5499999999999998E-2</v>
      </c>
    </row>
    <row r="98" spans="2:7" x14ac:dyDescent="0.3">
      <c r="B98" s="129">
        <v>45613</v>
      </c>
      <c r="C98" s="130">
        <v>476.25</v>
      </c>
      <c r="D98" s="131">
        <v>-3.1800000000000002E-2</v>
      </c>
      <c r="F98" s="130">
        <v>23907.25</v>
      </c>
      <c r="G98" s="131">
        <v>1.5900000000000001E-2</v>
      </c>
    </row>
    <row r="99" spans="2:7" x14ac:dyDescent="0.3">
      <c r="B99" s="129">
        <v>45620</v>
      </c>
      <c r="C99" s="130">
        <v>493.7</v>
      </c>
      <c r="D99" s="131">
        <v>3.6600000000000001E-2</v>
      </c>
      <c r="F99" s="130">
        <v>24131.1</v>
      </c>
      <c r="G99" s="131">
        <v>9.4000000000000004E-3</v>
      </c>
    </row>
    <row r="100" spans="2:7" x14ac:dyDescent="0.3">
      <c r="B100" s="129">
        <v>45627</v>
      </c>
      <c r="C100" s="130">
        <v>480.45</v>
      </c>
      <c r="D100" s="131">
        <v>-2.6800000000000001E-2</v>
      </c>
      <c r="F100" s="130">
        <v>24677.8</v>
      </c>
      <c r="G100" s="131">
        <v>2.2700000000000001E-2</v>
      </c>
    </row>
    <row r="101" spans="2:7" x14ac:dyDescent="0.3">
      <c r="B101" s="129">
        <v>45634</v>
      </c>
      <c r="C101" s="130">
        <v>475</v>
      </c>
      <c r="D101" s="131">
        <v>-1.1299999999999999E-2</v>
      </c>
      <c r="F101" s="130">
        <v>24768.3</v>
      </c>
      <c r="G101" s="131">
        <v>3.7000000000000002E-3</v>
      </c>
    </row>
    <row r="102" spans="2:7" x14ac:dyDescent="0.3">
      <c r="B102" s="129">
        <v>45641</v>
      </c>
      <c r="C102" s="130">
        <v>444.8</v>
      </c>
      <c r="D102" s="131">
        <v>-6.3600000000000004E-2</v>
      </c>
      <c r="F102" s="130">
        <v>23587.5</v>
      </c>
      <c r="G102" s="131">
        <v>-4.7699999999999999E-2</v>
      </c>
    </row>
    <row r="103" spans="2:7" x14ac:dyDescent="0.3">
      <c r="B103" s="129">
        <v>45648</v>
      </c>
      <c r="C103" s="130">
        <v>442.3</v>
      </c>
      <c r="D103" s="131">
        <v>-5.5999999999999999E-3</v>
      </c>
      <c r="F103" s="130">
        <v>23813.4</v>
      </c>
      <c r="G103" s="131">
        <v>9.5999999999999992E-3</v>
      </c>
    </row>
    <row r="104" spans="2:7" x14ac:dyDescent="0.3">
      <c r="B104" s="129">
        <v>45655</v>
      </c>
      <c r="C104" s="130">
        <v>457.85</v>
      </c>
      <c r="D104" s="131">
        <v>3.5200000000000002E-2</v>
      </c>
      <c r="F104" s="130">
        <v>24004.75</v>
      </c>
      <c r="G104" s="131">
        <v>8.0000000000000002E-3</v>
      </c>
    </row>
    <row r="105" spans="2:7" x14ac:dyDescent="0.3">
      <c r="B105" s="129">
        <v>45662</v>
      </c>
      <c r="C105" s="130">
        <v>460.85</v>
      </c>
      <c r="D105" s="131">
        <v>6.6E-3</v>
      </c>
      <c r="F105" s="130">
        <v>23431.5</v>
      </c>
      <c r="G105" s="131">
        <v>-2.3900000000000001E-2</v>
      </c>
    </row>
    <row r="106" spans="2:7" x14ac:dyDescent="0.3">
      <c r="B106" s="129">
        <v>45669</v>
      </c>
      <c r="C106" s="130">
        <v>468.8</v>
      </c>
      <c r="D106" s="131">
        <v>1.7299999999999999E-2</v>
      </c>
      <c r="F106" s="130">
        <v>23203.200000000001</v>
      </c>
      <c r="G106" s="131">
        <v>-9.7000000000000003E-3</v>
      </c>
    </row>
    <row r="107" spans="2:7" x14ac:dyDescent="0.3">
      <c r="B107" s="129">
        <v>45676</v>
      </c>
      <c r="C107" s="130">
        <v>480.1</v>
      </c>
      <c r="D107" s="131">
        <v>2.41E-2</v>
      </c>
      <c r="F107" s="130">
        <v>23092.2</v>
      </c>
      <c r="G107" s="131">
        <v>-4.7999999999999996E-3</v>
      </c>
    </row>
    <row r="108" spans="2:7" x14ac:dyDescent="0.3">
      <c r="B108" s="129">
        <v>45683</v>
      </c>
      <c r="C108" s="130">
        <v>472.75</v>
      </c>
      <c r="D108" s="131">
        <v>-1.5299999999999999E-2</v>
      </c>
      <c r="F108" s="130">
        <v>23508.400000000001</v>
      </c>
      <c r="G108" s="131">
        <v>1.7999999999999999E-2</v>
      </c>
    </row>
    <row r="109" spans="2:7" x14ac:dyDescent="0.3">
      <c r="B109" s="129">
        <v>45690</v>
      </c>
      <c r="C109" s="130">
        <v>479.35</v>
      </c>
      <c r="D109" s="131">
        <v>1.4E-2</v>
      </c>
      <c r="F109" s="130">
        <v>23559.95</v>
      </c>
      <c r="G109" s="131">
        <v>2.2000000000000001E-3</v>
      </c>
    </row>
    <row r="110" spans="2:7" x14ac:dyDescent="0.3">
      <c r="B110" s="129">
        <v>45697</v>
      </c>
      <c r="C110" s="130">
        <v>478.3</v>
      </c>
      <c r="D110" s="131">
        <v>-2.2000000000000001E-3</v>
      </c>
      <c r="F110" s="130">
        <v>22929.25</v>
      </c>
      <c r="G110" s="131">
        <v>-2.6800000000000001E-2</v>
      </c>
    </row>
  </sheetData>
  <mergeCells count="4">
    <mergeCell ref="B3:D3"/>
    <mergeCell ref="F3:G3"/>
    <mergeCell ref="J3:K3"/>
    <mergeCell ref="M3:N3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C036-FD6A-40FC-8A8D-DA806E167F59}">
  <dimension ref="B2:F27"/>
  <sheetViews>
    <sheetView showGridLines="0" workbookViewId="0">
      <selection activeCell="G21" sqref="G21"/>
    </sheetView>
  </sheetViews>
  <sheetFormatPr defaultRowHeight="14.4" x14ac:dyDescent="0.3"/>
  <cols>
    <col min="1" max="1" width="2.6640625" customWidth="1"/>
    <col min="2" max="3" width="12.77734375" customWidth="1"/>
    <col min="5" max="5" width="17.6640625" bestFit="1" customWidth="1"/>
  </cols>
  <sheetData>
    <row r="2" spans="2:6" x14ac:dyDescent="0.3">
      <c r="B2" s="139" t="s">
        <v>243</v>
      </c>
      <c r="C2" s="139" t="s">
        <v>244</v>
      </c>
    </row>
    <row r="3" spans="2:6" x14ac:dyDescent="0.3">
      <c r="B3" s="76">
        <v>2000</v>
      </c>
      <c r="C3" s="79"/>
      <c r="E3" s="11" t="s">
        <v>245</v>
      </c>
      <c r="F3" s="62">
        <f>AVERAGE(C4:C27)</f>
        <v>0.16584166666666669</v>
      </c>
    </row>
    <row r="4" spans="2:6" x14ac:dyDescent="0.3">
      <c r="B4" s="76">
        <v>2001</v>
      </c>
      <c r="C4" s="79">
        <v>-0.1618</v>
      </c>
      <c r="E4" s="11" t="s">
        <v>246</v>
      </c>
      <c r="F4" s="140">
        <v>1.38E-2</v>
      </c>
    </row>
    <row r="5" spans="2:6" ht="15" thickBot="1" x14ac:dyDescent="0.35">
      <c r="B5" s="76">
        <v>2002</v>
      </c>
      <c r="C5" s="79">
        <v>3.2500000000000001E-2</v>
      </c>
      <c r="E5" s="44" t="s">
        <v>247</v>
      </c>
      <c r="F5" s="141">
        <f>F3+F4</f>
        <v>0.1796416666666667</v>
      </c>
    </row>
    <row r="6" spans="2:6" ht="15" thickTop="1" x14ac:dyDescent="0.3">
      <c r="B6" s="76">
        <v>2003</v>
      </c>
      <c r="C6" s="79">
        <v>0.71900000000000008</v>
      </c>
    </row>
    <row r="7" spans="2:6" x14ac:dyDescent="0.3">
      <c r="B7" s="76">
        <v>2004</v>
      </c>
      <c r="C7" s="79">
        <v>0.10679999999999999</v>
      </c>
    </row>
    <row r="8" spans="2:6" x14ac:dyDescent="0.3">
      <c r="B8" s="76">
        <v>2005</v>
      </c>
      <c r="C8" s="79">
        <v>0.36340000000000006</v>
      </c>
    </row>
    <row r="9" spans="2:6" x14ac:dyDescent="0.3">
      <c r="B9" s="76">
        <v>2006</v>
      </c>
      <c r="C9" s="79">
        <v>0.39829999999999999</v>
      </c>
    </row>
    <row r="10" spans="2:6" x14ac:dyDescent="0.3">
      <c r="B10" s="76">
        <v>2007</v>
      </c>
      <c r="C10" s="79">
        <v>0.54770000000000008</v>
      </c>
    </row>
    <row r="11" spans="2:6" x14ac:dyDescent="0.3">
      <c r="B11" s="76">
        <v>2008</v>
      </c>
      <c r="C11" s="79">
        <v>-0.51790000000000003</v>
      </c>
    </row>
    <row r="12" spans="2:6" x14ac:dyDescent="0.3">
      <c r="B12" s="76">
        <v>2009</v>
      </c>
      <c r="C12" s="79">
        <v>0.75760000000000005</v>
      </c>
    </row>
    <row r="13" spans="2:6" x14ac:dyDescent="0.3">
      <c r="B13" s="76">
        <v>2010</v>
      </c>
      <c r="C13" s="79">
        <v>0.17949999999999999</v>
      </c>
    </row>
    <row r="14" spans="2:6" x14ac:dyDescent="0.3">
      <c r="B14" s="76">
        <v>2011</v>
      </c>
      <c r="C14" s="79">
        <v>-0.2462</v>
      </c>
    </row>
    <row r="15" spans="2:6" x14ac:dyDescent="0.3">
      <c r="B15" s="76">
        <v>2012</v>
      </c>
      <c r="C15" s="79">
        <v>0.27699999999999997</v>
      </c>
    </row>
    <row r="16" spans="2:6" x14ac:dyDescent="0.3">
      <c r="B16" s="76">
        <v>2013</v>
      </c>
      <c r="C16" s="79">
        <v>6.7599999999999993E-2</v>
      </c>
    </row>
    <row r="17" spans="2:3" x14ac:dyDescent="0.3">
      <c r="B17" s="76">
        <v>2014</v>
      </c>
      <c r="C17" s="79">
        <v>0.31390000000000001</v>
      </c>
    </row>
    <row r="18" spans="2:3" x14ac:dyDescent="0.3">
      <c r="B18" s="76">
        <v>2015</v>
      </c>
      <c r="C18" s="79">
        <v>-4.0599999999999997E-2</v>
      </c>
    </row>
    <row r="19" spans="2:3" x14ac:dyDescent="0.3">
      <c r="B19" s="76">
        <v>2016</v>
      </c>
      <c r="C19" s="79">
        <v>3.0099999999999998E-2</v>
      </c>
    </row>
    <row r="20" spans="2:3" x14ac:dyDescent="0.3">
      <c r="B20" s="76">
        <v>2017</v>
      </c>
      <c r="C20" s="79">
        <v>0.28649999999999998</v>
      </c>
    </row>
    <row r="21" spans="2:3" x14ac:dyDescent="0.3">
      <c r="B21" s="76">
        <v>2018</v>
      </c>
      <c r="C21" s="79">
        <v>3.15E-2</v>
      </c>
    </row>
    <row r="22" spans="2:3" x14ac:dyDescent="0.3">
      <c r="B22" s="76">
        <v>2019</v>
      </c>
      <c r="C22" s="79">
        <v>0.1202</v>
      </c>
    </row>
    <row r="23" spans="2:3" x14ac:dyDescent="0.3">
      <c r="B23" s="76">
        <v>2020</v>
      </c>
      <c r="C23" s="79">
        <v>0.14899999999999999</v>
      </c>
    </row>
    <row r="24" spans="2:3" x14ac:dyDescent="0.3">
      <c r="B24" s="76">
        <v>2021</v>
      </c>
      <c r="C24" s="79">
        <v>0.2412</v>
      </c>
    </row>
    <row r="25" spans="2:3" x14ac:dyDescent="0.3">
      <c r="B25" s="76">
        <v>2022</v>
      </c>
      <c r="C25" s="79">
        <v>4.3200000000000002E-2</v>
      </c>
    </row>
    <row r="26" spans="2:3" x14ac:dyDescent="0.3">
      <c r="B26" s="76">
        <v>2023</v>
      </c>
      <c r="C26" s="79">
        <v>0.19420000000000001</v>
      </c>
    </row>
    <row r="27" spans="2:3" x14ac:dyDescent="0.3">
      <c r="B27" s="76">
        <v>2024</v>
      </c>
      <c r="C27" s="79">
        <v>8.7499999999999994E-2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51B6-59C9-427F-9C32-7374521E92DC}">
  <dimension ref="B4:G9"/>
  <sheetViews>
    <sheetView showGridLines="0" workbookViewId="0">
      <selection activeCell="I21" sqref="I21"/>
    </sheetView>
  </sheetViews>
  <sheetFormatPr defaultRowHeight="14.4" x14ac:dyDescent="0.3"/>
  <cols>
    <col min="1" max="1" width="1.88671875" customWidth="1"/>
    <col min="2" max="7" width="12.77734375" customWidth="1"/>
  </cols>
  <sheetData>
    <row r="4" spans="2:7" x14ac:dyDescent="0.3">
      <c r="B4" s="147" t="s">
        <v>242</v>
      </c>
      <c r="C4" s="147" t="s">
        <v>218</v>
      </c>
      <c r="D4" s="147" t="s">
        <v>234</v>
      </c>
      <c r="E4" s="147" t="s">
        <v>235</v>
      </c>
      <c r="F4" s="147" t="s">
        <v>236</v>
      </c>
      <c r="G4" s="9"/>
    </row>
    <row r="5" spans="2:7" x14ac:dyDescent="0.3">
      <c r="B5" s="148">
        <v>1</v>
      </c>
      <c r="C5" s="148" t="s">
        <v>237</v>
      </c>
      <c r="D5" s="148">
        <v>2326.1</v>
      </c>
      <c r="E5" s="148">
        <v>223119.01</v>
      </c>
      <c r="F5" s="148">
        <v>2290.29</v>
      </c>
    </row>
    <row r="6" spans="2:7" x14ac:dyDescent="0.3">
      <c r="B6" s="148">
        <v>2</v>
      </c>
      <c r="C6" s="148" t="s">
        <v>238</v>
      </c>
      <c r="D6" s="148">
        <v>534.20000000000005</v>
      </c>
      <c r="E6" s="148">
        <v>62282.09</v>
      </c>
      <c r="F6" s="148">
        <v>670.27</v>
      </c>
    </row>
    <row r="7" spans="2:7" x14ac:dyDescent="0.3">
      <c r="B7" s="148">
        <v>3</v>
      </c>
      <c r="C7" s="148" t="s">
        <v>239</v>
      </c>
      <c r="D7" s="148">
        <v>244.9</v>
      </c>
      <c r="E7" s="148">
        <v>19800.509999999998</v>
      </c>
      <c r="F7" s="148">
        <v>296.39</v>
      </c>
    </row>
    <row r="8" spans="2:7" x14ac:dyDescent="0.3">
      <c r="B8" s="148">
        <v>4</v>
      </c>
      <c r="C8" s="148" t="s">
        <v>240</v>
      </c>
      <c r="D8" s="148">
        <v>3324.95</v>
      </c>
      <c r="E8" s="148">
        <v>15141.96</v>
      </c>
      <c r="F8" s="148">
        <v>62.1</v>
      </c>
    </row>
    <row r="9" spans="2:7" x14ac:dyDescent="0.3">
      <c r="B9" s="148">
        <v>5</v>
      </c>
      <c r="C9" s="148" t="s">
        <v>241</v>
      </c>
      <c r="D9" s="148">
        <v>1026.4000000000001</v>
      </c>
      <c r="E9" s="148">
        <v>4893.42</v>
      </c>
      <c r="F9" s="148">
        <v>19.7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8A2A-3D1F-44F8-BA39-F1E234C45C95}">
  <dimension ref="B3:L58"/>
  <sheetViews>
    <sheetView showGridLines="0" tabSelected="1" workbookViewId="0">
      <selection activeCell="D53" sqref="D53"/>
    </sheetView>
  </sheetViews>
  <sheetFormatPr defaultRowHeight="14.4" x14ac:dyDescent="0.3"/>
  <cols>
    <col min="1" max="1" width="1.88671875" customWidth="1"/>
    <col min="2" max="2" width="31.88671875" customWidth="1"/>
    <col min="3" max="3" width="19.21875" customWidth="1"/>
    <col min="4" max="12" width="13.77734375" customWidth="1"/>
  </cols>
  <sheetData>
    <row r="3" spans="2:12" x14ac:dyDescent="0.3">
      <c r="B3" s="142" t="str">
        <f>"Intrinsic Growth of " &amp;'Data Sheet'!$B$1</f>
        <v>Intrinsic Growth of BERGER PAINTS INDIA LTD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</row>
    <row r="4" spans="2:12" x14ac:dyDescent="0.3">
      <c r="B4" s="19" t="s">
        <v>54</v>
      </c>
      <c r="C4" s="13">
        <f>'Data Sheet'!B16</f>
        <v>42460</v>
      </c>
      <c r="D4" s="13">
        <f>'Data Sheet'!C16</f>
        <v>42825</v>
      </c>
      <c r="E4" s="13">
        <f>'Data Sheet'!D16</f>
        <v>43190</v>
      </c>
      <c r="F4" s="13">
        <f>'Data Sheet'!E16</f>
        <v>43555</v>
      </c>
      <c r="G4" s="13">
        <f>'Data Sheet'!F16</f>
        <v>43921</v>
      </c>
      <c r="H4" s="13">
        <f>'Data Sheet'!G16</f>
        <v>44286</v>
      </c>
      <c r="I4" s="13">
        <f>'Data Sheet'!H16</f>
        <v>44651</v>
      </c>
      <c r="J4" s="13">
        <f>'Data Sheet'!I16</f>
        <v>45016</v>
      </c>
      <c r="K4" s="13">
        <f>'Data Sheet'!J16</f>
        <v>45382</v>
      </c>
      <c r="L4" s="13">
        <f>'Data Sheet'!K16</f>
        <v>45747</v>
      </c>
    </row>
    <row r="6" spans="2:12" x14ac:dyDescent="0.3">
      <c r="B6" s="9" t="s">
        <v>248</v>
      </c>
    </row>
    <row r="7" spans="2:12" x14ac:dyDescent="0.3">
      <c r="B7" s="149" t="str">
        <f>'Data Sheet'!A153</f>
        <v>Inventories</v>
      </c>
      <c r="C7" s="51">
        <f>'Data Sheet'!B153</f>
        <v>696</v>
      </c>
      <c r="D7" s="51">
        <f>'Data Sheet'!C153</f>
        <v>719</v>
      </c>
      <c r="E7" s="51">
        <f>'Data Sheet'!D153</f>
        <v>733</v>
      </c>
      <c r="F7" s="51">
        <f>'Data Sheet'!E153</f>
        <v>935</v>
      </c>
      <c r="G7" s="51">
        <f>'Data Sheet'!F153</f>
        <v>1007</v>
      </c>
      <c r="H7" s="51">
        <f>'Data Sheet'!G153</f>
        <v>1234</v>
      </c>
      <c r="I7" s="51">
        <f>'Data Sheet'!H153</f>
        <v>1278</v>
      </c>
      <c r="J7" s="51">
        <f>'Data Sheet'!I153</f>
        <v>1616</v>
      </c>
      <c r="K7" s="51">
        <f>'Data Sheet'!J153</f>
        <v>2316</v>
      </c>
      <c r="L7" s="51">
        <f>'Data Sheet'!K153</f>
        <v>2319</v>
      </c>
    </row>
    <row r="8" spans="2:12" x14ac:dyDescent="0.3">
      <c r="B8" s="149" t="str">
        <f>'Data Sheet'!A154</f>
        <v>Trade receivables +</v>
      </c>
      <c r="C8" s="51">
        <f>'Data Sheet'!B154</f>
        <v>486</v>
      </c>
      <c r="D8" s="51">
        <f>'Data Sheet'!C154</f>
        <v>535</v>
      </c>
      <c r="E8" s="51">
        <f>'Data Sheet'!D154</f>
        <v>545</v>
      </c>
      <c r="F8" s="51">
        <f>'Data Sheet'!E154</f>
        <v>578</v>
      </c>
      <c r="G8" s="51">
        <f>'Data Sheet'!F154</f>
        <v>692</v>
      </c>
      <c r="H8" s="51">
        <f>'Data Sheet'!G154</f>
        <v>671</v>
      </c>
      <c r="I8" s="51">
        <f>'Data Sheet'!H154</f>
        <v>714</v>
      </c>
      <c r="J8" s="51">
        <f>'Data Sheet'!I154</f>
        <v>1020</v>
      </c>
      <c r="K8" s="51">
        <f>'Data Sheet'!J154</f>
        <v>1054</v>
      </c>
      <c r="L8" s="51">
        <f>'Data Sheet'!K154</f>
        <v>1243</v>
      </c>
    </row>
    <row r="9" spans="2:12" x14ac:dyDescent="0.3">
      <c r="B9" s="149" t="str">
        <f>'Data Sheet'!A155</f>
        <v>Cash Equivalents</v>
      </c>
      <c r="C9" s="51">
        <f>'Data Sheet'!B155</f>
        <v>184</v>
      </c>
      <c r="D9" s="51">
        <f>'Data Sheet'!C155</f>
        <v>170</v>
      </c>
      <c r="E9" s="51">
        <f>'Data Sheet'!D155</f>
        <v>105</v>
      </c>
      <c r="F9" s="51">
        <f>'Data Sheet'!E155</f>
        <v>102</v>
      </c>
      <c r="G9" s="51">
        <f>'Data Sheet'!F155</f>
        <v>205</v>
      </c>
      <c r="H9" s="51">
        <f>'Data Sheet'!G155</f>
        <v>238</v>
      </c>
      <c r="I9" s="51">
        <f>'Data Sheet'!H155</f>
        <v>220</v>
      </c>
      <c r="J9" s="51">
        <f>'Data Sheet'!I155</f>
        <v>440</v>
      </c>
      <c r="K9" s="51">
        <f>'Data Sheet'!J155</f>
        <v>313</v>
      </c>
      <c r="L9" s="51">
        <f>'Data Sheet'!K155</f>
        <v>245</v>
      </c>
    </row>
    <row r="10" spans="2:12" x14ac:dyDescent="0.3">
      <c r="B10" s="149" t="str">
        <f>'Data Sheet'!A156</f>
        <v>Loans n Advances</v>
      </c>
      <c r="C10" s="51">
        <f>'Data Sheet'!B156</f>
        <v>0</v>
      </c>
      <c r="D10" s="51">
        <f>'Data Sheet'!C156</f>
        <v>0</v>
      </c>
      <c r="E10" s="51">
        <f>'Data Sheet'!D156</f>
        <v>8</v>
      </c>
      <c r="F10" s="51">
        <f>'Data Sheet'!E156</f>
        <v>11</v>
      </c>
      <c r="G10" s="51">
        <f>'Data Sheet'!F156</f>
        <v>9</v>
      </c>
      <c r="H10" s="51">
        <f>'Data Sheet'!G156</f>
        <v>11</v>
      </c>
      <c r="I10" s="51">
        <f>'Data Sheet'!H156</f>
        <v>12</v>
      </c>
      <c r="J10" s="51">
        <f>'Data Sheet'!I156</f>
        <v>13</v>
      </c>
      <c r="K10" s="51">
        <f>'Data Sheet'!J156</f>
        <v>12</v>
      </c>
      <c r="L10" s="51">
        <f>'Data Sheet'!K156</f>
        <v>26</v>
      </c>
    </row>
    <row r="11" spans="2:12" x14ac:dyDescent="0.3">
      <c r="B11" s="149" t="str">
        <f>'Data Sheet'!A157</f>
        <v>Other asset items</v>
      </c>
      <c r="C11" s="51">
        <f>'Data Sheet'!B157</f>
        <v>142</v>
      </c>
      <c r="D11" s="51">
        <f>'Data Sheet'!C157</f>
        <v>126</v>
      </c>
      <c r="E11" s="51">
        <f>'Data Sheet'!D157</f>
        <v>123</v>
      </c>
      <c r="F11" s="51">
        <f>'Data Sheet'!E157</f>
        <v>142</v>
      </c>
      <c r="G11" s="51">
        <f>'Data Sheet'!F157</f>
        <v>331</v>
      </c>
      <c r="H11" s="51">
        <f>'Data Sheet'!G157</f>
        <v>255</v>
      </c>
      <c r="I11" s="51">
        <f>'Data Sheet'!H157</f>
        <v>266</v>
      </c>
      <c r="J11" s="51">
        <f>'Data Sheet'!I157</f>
        <v>323</v>
      </c>
      <c r="K11" s="51">
        <f>'Data Sheet'!J157</f>
        <v>490</v>
      </c>
      <c r="L11" s="51">
        <f>'Data Sheet'!K157</f>
        <v>509</v>
      </c>
    </row>
    <row r="12" spans="2:12" ht="15" thickBot="1" x14ac:dyDescent="0.35">
      <c r="B12" s="150" t="s">
        <v>80</v>
      </c>
      <c r="C12" s="150">
        <f>SUM(C7:C11)</f>
        <v>1508</v>
      </c>
      <c r="D12" s="150">
        <f t="shared" ref="D12:L12" si="0">SUM(D7:D11)</f>
        <v>1550</v>
      </c>
      <c r="E12" s="150">
        <f t="shared" si="0"/>
        <v>1514</v>
      </c>
      <c r="F12" s="150">
        <f t="shared" si="0"/>
        <v>1768</v>
      </c>
      <c r="G12" s="150">
        <f t="shared" si="0"/>
        <v>2244</v>
      </c>
      <c r="H12" s="150">
        <f t="shared" si="0"/>
        <v>2409</v>
      </c>
      <c r="I12" s="150">
        <f t="shared" si="0"/>
        <v>2490</v>
      </c>
      <c r="J12" s="150">
        <f t="shared" si="0"/>
        <v>3412</v>
      </c>
      <c r="K12" s="150">
        <f t="shared" si="0"/>
        <v>4185</v>
      </c>
      <c r="L12" s="150">
        <f t="shared" si="0"/>
        <v>4342</v>
      </c>
    </row>
    <row r="13" spans="2:12" ht="15" thickTop="1" x14ac:dyDescent="0.3">
      <c r="B13" s="52"/>
    </row>
    <row r="14" spans="2:12" x14ac:dyDescent="0.3">
      <c r="B14" s="9" t="s">
        <v>271</v>
      </c>
    </row>
    <row r="15" spans="2:12" x14ac:dyDescent="0.3">
      <c r="B15" s="149" t="str">
        <f>'Data Sheet'!A135</f>
        <v>Trade Payables</v>
      </c>
      <c r="C15" s="149">
        <f>'Data Sheet'!B135</f>
        <v>544</v>
      </c>
      <c r="D15" s="149">
        <f>'Data Sheet'!C135</f>
        <v>560</v>
      </c>
      <c r="E15" s="149">
        <f>'Data Sheet'!D135</f>
        <v>670</v>
      </c>
      <c r="F15" s="149">
        <f>'Data Sheet'!E135</f>
        <v>761</v>
      </c>
      <c r="G15" s="149">
        <f>'Data Sheet'!F135</f>
        <v>955</v>
      </c>
      <c r="H15" s="149">
        <f>'Data Sheet'!G135</f>
        <v>999</v>
      </c>
      <c r="I15" s="149">
        <f>'Data Sheet'!H135</f>
        <v>1066</v>
      </c>
      <c r="J15" s="149">
        <f>'Data Sheet'!I135</f>
        <v>1497</v>
      </c>
      <c r="K15" s="149">
        <f>'Data Sheet'!J135</f>
        <v>1803</v>
      </c>
      <c r="L15" s="149">
        <f>'Data Sheet'!K135</f>
        <v>1766</v>
      </c>
    </row>
    <row r="16" spans="2:12" x14ac:dyDescent="0.3">
      <c r="B16" s="149" t="str">
        <f>'Data Sheet'!A136</f>
        <v>Advance from Customers</v>
      </c>
      <c r="C16" s="149">
        <f>'Data Sheet'!B136</f>
        <v>9</v>
      </c>
      <c r="D16" s="149">
        <f>'Data Sheet'!C136</f>
        <v>10</v>
      </c>
      <c r="E16" s="149">
        <f>'Data Sheet'!D136</f>
        <v>11</v>
      </c>
      <c r="F16" s="149">
        <f>'Data Sheet'!E136</f>
        <v>13</v>
      </c>
      <c r="G16" s="149">
        <f>'Data Sheet'!F136</f>
        <v>19</v>
      </c>
      <c r="H16" s="149">
        <f>'Data Sheet'!G136</f>
        <v>19</v>
      </c>
      <c r="I16" s="149">
        <f>'Data Sheet'!H136</f>
        <v>17</v>
      </c>
      <c r="J16" s="149">
        <f>'Data Sheet'!I136</f>
        <v>25</v>
      </c>
      <c r="K16" s="149">
        <f>'Data Sheet'!J136</f>
        <v>24</v>
      </c>
      <c r="L16" s="149">
        <f>'Data Sheet'!K136</f>
        <v>25</v>
      </c>
    </row>
    <row r="17" spans="2:12" x14ac:dyDescent="0.3">
      <c r="B17" s="149" t="str">
        <f>'Data Sheet'!A137</f>
        <v>Other liability items</v>
      </c>
      <c r="C17" s="149">
        <f>'Data Sheet'!B137</f>
        <v>298</v>
      </c>
      <c r="D17" s="149">
        <f>'Data Sheet'!C137</f>
        <v>276</v>
      </c>
      <c r="E17" s="149">
        <f>'Data Sheet'!D137</f>
        <v>280</v>
      </c>
      <c r="F17" s="149">
        <f>'Data Sheet'!E137</f>
        <v>358</v>
      </c>
      <c r="G17" s="149">
        <f>'Data Sheet'!F137</f>
        <v>351</v>
      </c>
      <c r="H17" s="149">
        <f>'Data Sheet'!G137</f>
        <v>338</v>
      </c>
      <c r="I17" s="149">
        <f>'Data Sheet'!H137</f>
        <v>383</v>
      </c>
      <c r="J17" s="149">
        <f>'Data Sheet'!I137</f>
        <v>378</v>
      </c>
      <c r="K17" s="149">
        <f>'Data Sheet'!J137</f>
        <v>437</v>
      </c>
      <c r="L17" s="149">
        <f>'Data Sheet'!K137</f>
        <v>485</v>
      </c>
    </row>
    <row r="18" spans="2:12" ht="15" thickBot="1" x14ac:dyDescent="0.35">
      <c r="B18" s="150" t="s">
        <v>272</v>
      </c>
      <c r="C18" s="150">
        <f>SUM(C14:C17)</f>
        <v>851</v>
      </c>
      <c r="D18" s="150">
        <f>SUM(D14:D17)</f>
        <v>846</v>
      </c>
      <c r="E18" s="150">
        <f>SUM(E15:E17)</f>
        <v>961</v>
      </c>
      <c r="F18" s="150">
        <f>SUM(F15:F17)</f>
        <v>1132</v>
      </c>
      <c r="G18" s="150">
        <f>SUM(G15:G17)</f>
        <v>1325</v>
      </c>
      <c r="H18" s="150">
        <f>SUM(H15:H17)</f>
        <v>1356</v>
      </c>
      <c r="I18" s="150">
        <f>SUM(I15:I17)</f>
        <v>1466</v>
      </c>
      <c r="J18" s="150">
        <f>SUM(J15:J17)</f>
        <v>1900</v>
      </c>
      <c r="K18" s="150">
        <f>SUM(K15:K17)</f>
        <v>2264</v>
      </c>
      <c r="L18" s="150">
        <f>SUM(L15:L17)</f>
        <v>2276</v>
      </c>
    </row>
    <row r="19" spans="2:12" ht="15" thickTop="1" x14ac:dyDescent="0.3">
      <c r="B19" s="52"/>
    </row>
    <row r="20" spans="2:12" ht="15" thickBot="1" x14ac:dyDescent="0.35">
      <c r="B20" s="151" t="s">
        <v>278</v>
      </c>
      <c r="C20" s="151">
        <f>C12-C18</f>
        <v>657</v>
      </c>
      <c r="D20" s="151">
        <f t="shared" ref="D20:L20" si="1">D12-D18</f>
        <v>704</v>
      </c>
      <c r="E20" s="151">
        <f t="shared" si="1"/>
        <v>553</v>
      </c>
      <c r="F20" s="151">
        <f t="shared" si="1"/>
        <v>636</v>
      </c>
      <c r="G20" s="151">
        <f t="shared" si="1"/>
        <v>919</v>
      </c>
      <c r="H20" s="151">
        <f t="shared" si="1"/>
        <v>1053</v>
      </c>
      <c r="I20" s="151">
        <f t="shared" si="1"/>
        <v>1024</v>
      </c>
      <c r="J20" s="151">
        <f t="shared" si="1"/>
        <v>1512</v>
      </c>
      <c r="K20" s="151">
        <f t="shared" si="1"/>
        <v>1921</v>
      </c>
      <c r="L20" s="151">
        <f t="shared" si="1"/>
        <v>2066</v>
      </c>
    </row>
    <row r="21" spans="2:12" ht="15" thickTop="1" x14ac:dyDescent="0.3"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</row>
    <row r="22" spans="2:12" x14ac:dyDescent="0.3">
      <c r="B22" s="52" t="s">
        <v>279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</row>
    <row r="23" spans="2:12" x14ac:dyDescent="0.3">
      <c r="B23" s="51" t="str">
        <f>'Data Sheet'!A140</f>
        <v>Land</v>
      </c>
      <c r="C23" s="51">
        <f>'Data Sheet'!B140</f>
        <v>21</v>
      </c>
      <c r="D23" s="51">
        <f>'Data Sheet'!C140</f>
        <v>23</v>
      </c>
      <c r="E23" s="51">
        <f>'Data Sheet'!D140</f>
        <v>20</v>
      </c>
      <c r="F23" s="51">
        <f>'Data Sheet'!E140</f>
        <v>21</v>
      </c>
      <c r="G23" s="51">
        <f>'Data Sheet'!F140</f>
        <v>22</v>
      </c>
      <c r="H23" s="51">
        <f>'Data Sheet'!G140</f>
        <v>61</v>
      </c>
      <c r="I23" s="51">
        <f>'Data Sheet'!H140</f>
        <v>159</v>
      </c>
      <c r="J23" s="51">
        <f>'Data Sheet'!I140</f>
        <v>170</v>
      </c>
      <c r="K23" s="51">
        <f>'Data Sheet'!J140</f>
        <v>169</v>
      </c>
      <c r="L23" s="51">
        <f>'Data Sheet'!K140</f>
        <v>183</v>
      </c>
    </row>
    <row r="24" spans="2:12" x14ac:dyDescent="0.3">
      <c r="B24" s="51" t="str">
        <f>'Data Sheet'!A141</f>
        <v>Building</v>
      </c>
      <c r="C24" s="51">
        <f>'Data Sheet'!B141</f>
        <v>289</v>
      </c>
      <c r="D24" s="51">
        <f>'Data Sheet'!C141</f>
        <v>344</v>
      </c>
      <c r="E24" s="51">
        <f>'Data Sheet'!D141</f>
        <v>325</v>
      </c>
      <c r="F24" s="51">
        <f>'Data Sheet'!E141</f>
        <v>405</v>
      </c>
      <c r="G24" s="51">
        <f>'Data Sheet'!F141</f>
        <v>426</v>
      </c>
      <c r="H24" s="51">
        <f>'Data Sheet'!G141</f>
        <v>656</v>
      </c>
      <c r="I24" s="51">
        <f>'Data Sheet'!H141</f>
        <v>832</v>
      </c>
      <c r="J24" s="51">
        <f>'Data Sheet'!I141</f>
        <v>884</v>
      </c>
      <c r="K24" s="51">
        <f>'Data Sheet'!J141</f>
        <v>1009</v>
      </c>
      <c r="L24" s="51">
        <f>'Data Sheet'!K141</f>
        <v>1626</v>
      </c>
    </row>
    <row r="25" spans="2:12" x14ac:dyDescent="0.3">
      <c r="B25" s="51" t="str">
        <f>'Data Sheet'!A142</f>
        <v>Plant Machinery</v>
      </c>
      <c r="C25" s="51">
        <f>'Data Sheet'!B142</f>
        <v>610</v>
      </c>
      <c r="D25" s="51">
        <f>'Data Sheet'!C142</f>
        <v>709</v>
      </c>
      <c r="E25" s="51">
        <f>'Data Sheet'!D142</f>
        <v>436</v>
      </c>
      <c r="F25" s="51">
        <f>'Data Sheet'!E142</f>
        <v>607</v>
      </c>
      <c r="G25" s="51">
        <f>'Data Sheet'!F142</f>
        <v>729</v>
      </c>
      <c r="H25" s="51">
        <f>'Data Sheet'!G142</f>
        <v>835</v>
      </c>
      <c r="I25" s="51">
        <f>'Data Sheet'!H142</f>
        <v>1011</v>
      </c>
      <c r="J25" s="51">
        <f>'Data Sheet'!I142</f>
        <v>1206</v>
      </c>
      <c r="K25" s="51">
        <f>'Data Sheet'!J142</f>
        <v>1306</v>
      </c>
      <c r="L25" s="51">
        <f>'Data Sheet'!K142</f>
        <v>2023</v>
      </c>
    </row>
    <row r="26" spans="2:12" x14ac:dyDescent="0.3">
      <c r="B26" s="51" t="str">
        <f>'Data Sheet'!A143</f>
        <v>Equipments</v>
      </c>
      <c r="C26" s="51">
        <f>'Data Sheet'!B143</f>
        <v>74</v>
      </c>
      <c r="D26" s="51">
        <f>'Data Sheet'!C143</f>
        <v>9</v>
      </c>
      <c r="E26" s="51">
        <f>'Data Sheet'!D143</f>
        <v>7</v>
      </c>
      <c r="F26" s="51">
        <f>'Data Sheet'!E143</f>
        <v>9</v>
      </c>
      <c r="G26" s="51">
        <f>'Data Sheet'!F143</f>
        <v>11</v>
      </c>
      <c r="H26" s="51">
        <f>'Data Sheet'!G143</f>
        <v>15</v>
      </c>
      <c r="I26" s="51">
        <f>'Data Sheet'!H143</f>
        <v>19</v>
      </c>
      <c r="J26" s="51">
        <f>'Data Sheet'!I143</f>
        <v>23</v>
      </c>
      <c r="K26" s="51">
        <f>'Data Sheet'!J143</f>
        <v>27</v>
      </c>
      <c r="L26" s="51">
        <f>'Data Sheet'!K143</f>
        <v>37</v>
      </c>
    </row>
    <row r="27" spans="2:12" x14ac:dyDescent="0.3">
      <c r="B27" s="51" t="str">
        <f>'Data Sheet'!A144</f>
        <v>Computers</v>
      </c>
      <c r="C27" s="51">
        <f>'Data Sheet'!B144</f>
        <v>0</v>
      </c>
      <c r="D27" s="51">
        <f>'Data Sheet'!C144</f>
        <v>69</v>
      </c>
      <c r="E27" s="51">
        <f>'Data Sheet'!D144</f>
        <v>25</v>
      </c>
      <c r="F27" s="51">
        <f>'Data Sheet'!E144</f>
        <v>36</v>
      </c>
      <c r="G27" s="51">
        <f>'Data Sheet'!F144</f>
        <v>47</v>
      </c>
      <c r="H27" s="51">
        <f>'Data Sheet'!G144</f>
        <v>49</v>
      </c>
      <c r="I27" s="51">
        <f>'Data Sheet'!H144</f>
        <v>56</v>
      </c>
      <c r="J27" s="51">
        <f>'Data Sheet'!I144</f>
        <v>58</v>
      </c>
      <c r="K27" s="51">
        <f>'Data Sheet'!J144</f>
        <v>54</v>
      </c>
      <c r="L27" s="51">
        <f>'Data Sheet'!K144</f>
        <v>61</v>
      </c>
    </row>
    <row r="28" spans="2:12" x14ac:dyDescent="0.3">
      <c r="B28" s="51" t="str">
        <f>'Data Sheet'!A145</f>
        <v>Furniture n fittings</v>
      </c>
      <c r="C28" s="51">
        <f>'Data Sheet'!B145</f>
        <v>33</v>
      </c>
      <c r="D28" s="51">
        <f>'Data Sheet'!C145</f>
        <v>36</v>
      </c>
      <c r="E28" s="51">
        <f>'Data Sheet'!D145</f>
        <v>22</v>
      </c>
      <c r="F28" s="51">
        <f>'Data Sheet'!E145</f>
        <v>26</v>
      </c>
      <c r="G28" s="51">
        <f>'Data Sheet'!F145</f>
        <v>37</v>
      </c>
      <c r="H28" s="51">
        <f>'Data Sheet'!G145</f>
        <v>40</v>
      </c>
      <c r="I28" s="51">
        <f>'Data Sheet'!H145</f>
        <v>44</v>
      </c>
      <c r="J28" s="51">
        <f>'Data Sheet'!I145</f>
        <v>47</v>
      </c>
      <c r="K28" s="51">
        <f>'Data Sheet'!J145</f>
        <v>49</v>
      </c>
      <c r="L28" s="51">
        <f>'Data Sheet'!K145</f>
        <v>55</v>
      </c>
    </row>
    <row r="29" spans="2:12" x14ac:dyDescent="0.3">
      <c r="B29" s="51" t="str">
        <f>'Data Sheet'!A146</f>
        <v>Vehicles</v>
      </c>
      <c r="C29" s="51">
        <f>'Data Sheet'!B146</f>
        <v>24</v>
      </c>
      <c r="D29" s="51">
        <f>'Data Sheet'!C146</f>
        <v>25</v>
      </c>
      <c r="E29" s="51">
        <f>'Data Sheet'!D146</f>
        <v>13</v>
      </c>
      <c r="F29" s="51">
        <f>'Data Sheet'!E146</f>
        <v>14</v>
      </c>
      <c r="G29" s="51">
        <f>'Data Sheet'!F146</f>
        <v>19</v>
      </c>
      <c r="H29" s="51">
        <f>'Data Sheet'!G146</f>
        <v>24</v>
      </c>
      <c r="I29" s="51">
        <f>'Data Sheet'!H146</f>
        <v>27</v>
      </c>
      <c r="J29" s="51">
        <f>'Data Sheet'!I146</f>
        <v>23</v>
      </c>
      <c r="K29" s="51">
        <f>'Data Sheet'!J146</f>
        <v>20</v>
      </c>
      <c r="L29" s="51">
        <f>'Data Sheet'!K146</f>
        <v>20</v>
      </c>
    </row>
    <row r="30" spans="2:12" x14ac:dyDescent="0.3">
      <c r="B30" s="51" t="str">
        <f>'Data Sheet'!A147</f>
        <v>Intangible Assets</v>
      </c>
      <c r="C30" s="51">
        <f>'Data Sheet'!B147</f>
        <v>224</v>
      </c>
      <c r="D30" s="51">
        <f>'Data Sheet'!C147</f>
        <v>198</v>
      </c>
      <c r="E30" s="51">
        <f>'Data Sheet'!D147</f>
        <v>186</v>
      </c>
      <c r="F30" s="51">
        <f>'Data Sheet'!E147</f>
        <v>179</v>
      </c>
      <c r="G30" s="51">
        <f>'Data Sheet'!F147</f>
        <v>265</v>
      </c>
      <c r="H30" s="51">
        <f>'Data Sheet'!G147</f>
        <v>269</v>
      </c>
      <c r="I30" s="51">
        <f>'Data Sheet'!H147</f>
        <v>279</v>
      </c>
      <c r="J30" s="51">
        <f>'Data Sheet'!I147</f>
        <v>288</v>
      </c>
      <c r="K30" s="51">
        <f>'Data Sheet'!J147</f>
        <v>276</v>
      </c>
      <c r="L30" s="51">
        <f>'Data Sheet'!K147</f>
        <v>282</v>
      </c>
    </row>
    <row r="31" spans="2:12" x14ac:dyDescent="0.3">
      <c r="B31" s="51" t="str">
        <f>'Data Sheet'!A148</f>
        <v>Other fixed assets</v>
      </c>
      <c r="C31" s="51">
        <f>'Data Sheet'!B148</f>
        <v>47</v>
      </c>
      <c r="D31" s="51">
        <f>'Data Sheet'!C148</f>
        <v>48</v>
      </c>
      <c r="E31" s="51">
        <f>'Data Sheet'!D148</f>
        <v>14</v>
      </c>
      <c r="F31" s="51">
        <f>'Data Sheet'!E148</f>
        <v>12</v>
      </c>
      <c r="G31" s="51">
        <f>'Data Sheet'!F148</f>
        <v>16</v>
      </c>
      <c r="H31" s="51">
        <f>'Data Sheet'!G148</f>
        <v>23</v>
      </c>
      <c r="I31" s="51">
        <f>'Data Sheet'!H148</f>
        <v>25</v>
      </c>
      <c r="J31" s="51">
        <f>'Data Sheet'!I148</f>
        <v>34</v>
      </c>
      <c r="K31" s="51">
        <f>'Data Sheet'!J148</f>
        <v>43</v>
      </c>
      <c r="L31" s="51">
        <f>'Data Sheet'!K148</f>
        <v>36</v>
      </c>
    </row>
    <row r="32" spans="2:12" x14ac:dyDescent="0.3">
      <c r="B32" s="52" t="str">
        <f>'Data Sheet'!A149</f>
        <v>Gross Block</v>
      </c>
      <c r="C32" s="52">
        <f>'Data Sheet'!B149</f>
        <v>1322</v>
      </c>
      <c r="D32" s="52">
        <f>'Data Sheet'!C149</f>
        <v>1461</v>
      </c>
      <c r="E32" s="52">
        <f>'Data Sheet'!D149</f>
        <v>1048</v>
      </c>
      <c r="F32" s="52">
        <f>'Data Sheet'!E149</f>
        <v>1310</v>
      </c>
      <c r="G32" s="52">
        <f>'Data Sheet'!F149</f>
        <v>1571</v>
      </c>
      <c r="H32" s="52">
        <f>'Data Sheet'!G149</f>
        <v>1971</v>
      </c>
      <c r="I32" s="52">
        <f>'Data Sheet'!H149</f>
        <v>2452</v>
      </c>
      <c r="J32" s="52">
        <f>'Data Sheet'!I149</f>
        <v>2734</v>
      </c>
      <c r="K32" s="52">
        <f>'Data Sheet'!J149</f>
        <v>2955</v>
      </c>
      <c r="L32" s="52">
        <f>'Data Sheet'!K149</f>
        <v>4324</v>
      </c>
    </row>
    <row r="33" spans="2:12" x14ac:dyDescent="0.3">
      <c r="B33" s="51" t="s">
        <v>265</v>
      </c>
      <c r="C33" s="51">
        <f>-('Data Sheet'!B150)</f>
        <v>-458</v>
      </c>
      <c r="D33" s="51">
        <f>-('Data Sheet'!C150)</f>
        <v>-531</v>
      </c>
      <c r="E33" s="51">
        <f>-('Data Sheet'!D150)</f>
        <v>-85</v>
      </c>
      <c r="F33" s="51">
        <f>-('Data Sheet'!E150)</f>
        <v>-174</v>
      </c>
      <c r="G33" s="51">
        <f>-('Data Sheet'!F150)</f>
        <v>-304</v>
      </c>
      <c r="H33" s="51">
        <f>-('Data Sheet'!G150)</f>
        <v>-388</v>
      </c>
      <c r="I33" s="51">
        <f>-('Data Sheet'!H150)</f>
        <v>-536</v>
      </c>
      <c r="J33" s="51">
        <f>-('Data Sheet'!I150)</f>
        <v>-690</v>
      </c>
      <c r="K33" s="51">
        <f>-('Data Sheet'!J150)</f>
        <v>-768</v>
      </c>
      <c r="L33" s="51">
        <f>-('Data Sheet'!K150)</f>
        <v>-992</v>
      </c>
    </row>
    <row r="34" spans="2:12" x14ac:dyDescent="0.3">
      <c r="B34" s="52" t="s">
        <v>13</v>
      </c>
      <c r="C34" s="52">
        <f>SUM(C32:C33)</f>
        <v>864</v>
      </c>
      <c r="D34" s="52">
        <f t="shared" ref="D34:L34" si="2">SUM(D32:D33)</f>
        <v>930</v>
      </c>
      <c r="E34" s="52">
        <f t="shared" si="2"/>
        <v>963</v>
      </c>
      <c r="F34" s="52">
        <f t="shared" si="2"/>
        <v>1136</v>
      </c>
      <c r="G34" s="52">
        <f t="shared" si="2"/>
        <v>1267</v>
      </c>
      <c r="H34" s="52">
        <f t="shared" si="2"/>
        <v>1583</v>
      </c>
      <c r="I34" s="52">
        <f t="shared" si="2"/>
        <v>1916</v>
      </c>
      <c r="J34" s="52">
        <f t="shared" si="2"/>
        <v>2044</v>
      </c>
      <c r="K34" s="52">
        <f t="shared" si="2"/>
        <v>2187</v>
      </c>
      <c r="L34" s="52">
        <f t="shared" si="2"/>
        <v>3332</v>
      </c>
    </row>
    <row r="35" spans="2:12" x14ac:dyDescent="0.3">
      <c r="B35" s="51"/>
    </row>
    <row r="36" spans="2:12" x14ac:dyDescent="0.3">
      <c r="B36" s="149" t="s">
        <v>280</v>
      </c>
      <c r="C36" s="51">
        <f>C34+C20</f>
        <v>1521</v>
      </c>
      <c r="D36" s="51">
        <f t="shared" ref="D36:L36" si="3">D34+D20</f>
        <v>1634</v>
      </c>
      <c r="E36" s="51">
        <f t="shared" si="3"/>
        <v>1516</v>
      </c>
      <c r="F36" s="51">
        <f t="shared" si="3"/>
        <v>1772</v>
      </c>
      <c r="G36" s="51">
        <f t="shared" si="3"/>
        <v>2186</v>
      </c>
      <c r="H36" s="51">
        <f t="shared" si="3"/>
        <v>2636</v>
      </c>
      <c r="I36" s="51">
        <f t="shared" si="3"/>
        <v>2940</v>
      </c>
      <c r="J36" s="51">
        <f t="shared" si="3"/>
        <v>3556</v>
      </c>
      <c r="K36" s="51">
        <f t="shared" si="3"/>
        <v>4108</v>
      </c>
      <c r="L36" s="51">
        <f t="shared" si="3"/>
        <v>5398</v>
      </c>
    </row>
    <row r="37" spans="2:12" x14ac:dyDescent="0.3">
      <c r="B37" s="51" t="s">
        <v>66</v>
      </c>
      <c r="C37">
        <f>'Income Statement'!D28</f>
        <v>820.05000000000018</v>
      </c>
      <c r="D37">
        <f>'Income Statement'!E28</f>
        <v>918.02000000000021</v>
      </c>
      <c r="E37">
        <f>'Income Statement'!F28</f>
        <v>1039.8399999999992</v>
      </c>
      <c r="F37">
        <f>'Income Statement'!G28</f>
        <v>1161.3299999999995</v>
      </c>
      <c r="G37">
        <f>'Income Statement'!H28</f>
        <v>1314.7899999999997</v>
      </c>
      <c r="H37">
        <f>'Income Statement'!I28</f>
        <v>1456.94</v>
      </c>
      <c r="I37">
        <f>'Income Statement'!J28</f>
        <v>1648.2499999999998</v>
      </c>
      <c r="J37">
        <f>'Income Statement'!K28</f>
        <v>1823.5199999999993</v>
      </c>
      <c r="K37">
        <f>'Income Statement'!L28</f>
        <v>2244.1099999999997</v>
      </c>
      <c r="L37">
        <f>'Income Statement'!M28</f>
        <v>2319.2699999999991</v>
      </c>
    </row>
    <row r="38" spans="2:12" x14ac:dyDescent="0.3">
      <c r="B38" s="51"/>
    </row>
    <row r="39" spans="2:12" ht="15" thickBot="1" x14ac:dyDescent="0.35">
      <c r="B39" s="53" t="s">
        <v>281</v>
      </c>
      <c r="C39" s="153">
        <f>C37/C36</f>
        <v>0.53915187376725848</v>
      </c>
      <c r="D39" s="153">
        <f t="shared" ref="D39:L39" si="4">D37/D36</f>
        <v>0.56182374541003688</v>
      </c>
      <c r="E39" s="153">
        <f t="shared" si="4"/>
        <v>0.68591029023746652</v>
      </c>
      <c r="F39" s="153">
        <f t="shared" si="4"/>
        <v>0.65537810383747153</v>
      </c>
      <c r="G39" s="153">
        <f t="shared" si="4"/>
        <v>0.60145928636779489</v>
      </c>
      <c r="H39" s="153">
        <f t="shared" si="4"/>
        <v>0.55270864946889231</v>
      </c>
      <c r="I39" s="153">
        <f t="shared" si="4"/>
        <v>0.56062925170068023</v>
      </c>
      <c r="J39" s="153">
        <f t="shared" si="4"/>
        <v>0.51280089988751387</v>
      </c>
      <c r="K39" s="153">
        <f t="shared" si="4"/>
        <v>0.54627799415774092</v>
      </c>
      <c r="L39" s="153">
        <f t="shared" si="4"/>
        <v>0.42965357539829552</v>
      </c>
    </row>
    <row r="40" spans="2:12" ht="15" thickTop="1" x14ac:dyDescent="0.3"/>
    <row r="41" spans="2:12" x14ac:dyDescent="0.3">
      <c r="B41" s="19" t="s">
        <v>282</v>
      </c>
    </row>
    <row r="43" spans="2:12" x14ac:dyDescent="0.3">
      <c r="B43" t="s">
        <v>283</v>
      </c>
      <c r="C43" s="51">
        <f>-SUM('Data Sheet'!B98:B99)</f>
        <v>242</v>
      </c>
      <c r="D43" s="51">
        <f>-SUM('Data Sheet'!C98:C99)</f>
        <v>161</v>
      </c>
      <c r="E43" s="51">
        <f>-SUM('Data Sheet'!D98:D99)</f>
        <v>118</v>
      </c>
      <c r="F43" s="51">
        <f>-SUM('Data Sheet'!E98:E99)</f>
        <v>265</v>
      </c>
      <c r="G43" s="51">
        <f>-SUM('Data Sheet'!F98:F99)</f>
        <v>290</v>
      </c>
      <c r="H43" s="51">
        <f>-SUM('Data Sheet'!G98:G99)</f>
        <v>291</v>
      </c>
      <c r="I43" s="51">
        <f>-SUM('Data Sheet'!H98:H99)</f>
        <v>431</v>
      </c>
      <c r="J43" s="51">
        <f>-SUM('Data Sheet'!I98:I99)</f>
        <v>185</v>
      </c>
      <c r="K43" s="51">
        <f>-SUM('Data Sheet'!J98:J99)</f>
        <v>760</v>
      </c>
      <c r="L43" s="51">
        <f>-SUM('Data Sheet'!K98:K99)</f>
        <v>744</v>
      </c>
    </row>
    <row r="44" spans="2:12" x14ac:dyDescent="0.3">
      <c r="B44" t="s">
        <v>284</v>
      </c>
      <c r="D44" s="51">
        <f>D20-C20</f>
        <v>47</v>
      </c>
      <c r="E44" s="51">
        <f t="shared" ref="E44:L44" si="5">E20-D20</f>
        <v>-151</v>
      </c>
      <c r="F44" s="51">
        <f t="shared" si="5"/>
        <v>83</v>
      </c>
      <c r="G44" s="51">
        <f t="shared" si="5"/>
        <v>283</v>
      </c>
      <c r="H44" s="51">
        <f t="shared" si="5"/>
        <v>134</v>
      </c>
      <c r="I44" s="51">
        <f t="shared" si="5"/>
        <v>-29</v>
      </c>
      <c r="J44" s="51">
        <f t="shared" si="5"/>
        <v>488</v>
      </c>
      <c r="K44" s="51">
        <f t="shared" si="5"/>
        <v>409</v>
      </c>
      <c r="L44" s="51">
        <f t="shared" si="5"/>
        <v>145</v>
      </c>
    </row>
    <row r="46" spans="2:12" x14ac:dyDescent="0.3">
      <c r="B46" t="s">
        <v>66</v>
      </c>
      <c r="C46">
        <f>C37</f>
        <v>820.05000000000018</v>
      </c>
      <c r="D46">
        <f t="shared" ref="D46:L46" si="6">D37</f>
        <v>918.02000000000021</v>
      </c>
      <c r="E46">
        <f t="shared" si="6"/>
        <v>1039.8399999999992</v>
      </c>
      <c r="F46">
        <f t="shared" si="6"/>
        <v>1161.3299999999995</v>
      </c>
      <c r="G46">
        <f t="shared" si="6"/>
        <v>1314.7899999999997</v>
      </c>
      <c r="H46">
        <f t="shared" si="6"/>
        <v>1456.94</v>
      </c>
      <c r="I46">
        <f t="shared" si="6"/>
        <v>1648.2499999999998</v>
      </c>
      <c r="J46">
        <f t="shared" si="6"/>
        <v>1823.5199999999993</v>
      </c>
      <c r="K46">
        <f t="shared" si="6"/>
        <v>2244.1099999999997</v>
      </c>
      <c r="L46">
        <f t="shared" si="6"/>
        <v>2319.2699999999991</v>
      </c>
    </row>
    <row r="47" spans="2:12" x14ac:dyDescent="0.3">
      <c r="B47" t="s">
        <v>285</v>
      </c>
      <c r="C47" s="154">
        <v>0.25</v>
      </c>
      <c r="D47" s="154">
        <v>0.25</v>
      </c>
      <c r="E47" s="154">
        <v>0.25</v>
      </c>
      <c r="F47" s="154">
        <v>0.25</v>
      </c>
      <c r="G47" s="154">
        <v>0.25</v>
      </c>
      <c r="H47" s="154">
        <v>0.25</v>
      </c>
      <c r="I47" s="154">
        <v>0.25</v>
      </c>
      <c r="J47" s="154">
        <v>0.25</v>
      </c>
      <c r="K47" s="154">
        <v>0.25</v>
      </c>
      <c r="L47" s="154">
        <v>0.25</v>
      </c>
    </row>
    <row r="48" spans="2:12" x14ac:dyDescent="0.3">
      <c r="B48" t="s">
        <v>286</v>
      </c>
      <c r="C48" s="51">
        <f>C46*(1 - C47)</f>
        <v>615.03750000000014</v>
      </c>
      <c r="D48" s="51">
        <f t="shared" ref="D48:L48" si="7">D46*(1 - D47)</f>
        <v>688.5150000000001</v>
      </c>
      <c r="E48" s="51">
        <f t="shared" si="7"/>
        <v>779.87999999999943</v>
      </c>
      <c r="F48" s="51">
        <f t="shared" si="7"/>
        <v>870.9974999999996</v>
      </c>
      <c r="G48" s="51">
        <f t="shared" si="7"/>
        <v>986.09249999999975</v>
      </c>
      <c r="H48" s="51">
        <f t="shared" si="7"/>
        <v>1092.7049999999999</v>
      </c>
      <c r="I48" s="51">
        <f t="shared" si="7"/>
        <v>1236.1874999999998</v>
      </c>
      <c r="J48" s="51">
        <f t="shared" si="7"/>
        <v>1367.6399999999994</v>
      </c>
      <c r="K48" s="51">
        <f t="shared" si="7"/>
        <v>1683.0824999999998</v>
      </c>
      <c r="L48" s="51">
        <f t="shared" si="7"/>
        <v>1739.4524999999994</v>
      </c>
    </row>
    <row r="50" spans="2:12" x14ac:dyDescent="0.3">
      <c r="B50" s="9" t="s">
        <v>287</v>
      </c>
      <c r="C50" s="52">
        <f>SUM(C43:C44)</f>
        <v>242</v>
      </c>
      <c r="D50" s="52">
        <f t="shared" ref="D50:L50" si="8">SUM(D43:D44)</f>
        <v>208</v>
      </c>
      <c r="E50" s="52">
        <f t="shared" si="8"/>
        <v>-33</v>
      </c>
      <c r="F50" s="52">
        <f t="shared" si="8"/>
        <v>348</v>
      </c>
      <c r="G50" s="52">
        <f t="shared" si="8"/>
        <v>573</v>
      </c>
      <c r="H50" s="52">
        <f t="shared" si="8"/>
        <v>425</v>
      </c>
      <c r="I50" s="52">
        <f t="shared" si="8"/>
        <v>402</v>
      </c>
      <c r="J50" s="52">
        <f t="shared" si="8"/>
        <v>673</v>
      </c>
      <c r="K50" s="52">
        <f t="shared" si="8"/>
        <v>1169</v>
      </c>
      <c r="L50" s="52">
        <f t="shared" si="8"/>
        <v>889</v>
      </c>
    </row>
    <row r="51" spans="2:12" x14ac:dyDescent="0.3">
      <c r="B51" t="s">
        <v>288</v>
      </c>
      <c r="C51" s="152">
        <f>C50/C48</f>
        <v>0.39347194276771735</v>
      </c>
      <c r="D51" s="152">
        <f>D50/D48</f>
        <v>0.30209944590894894</v>
      </c>
      <c r="E51" s="152">
        <f t="shared" ref="D51:L51" si="9">E50/E48</f>
        <v>-4.2314202184951563E-2</v>
      </c>
      <c r="F51" s="152">
        <f t="shared" si="9"/>
        <v>0.39954190454048394</v>
      </c>
      <c r="G51" s="152">
        <f t="shared" si="9"/>
        <v>0.58108138942340615</v>
      </c>
      <c r="H51" s="152">
        <f t="shared" si="9"/>
        <v>0.38894303586054796</v>
      </c>
      <c r="I51" s="152">
        <f t="shared" si="9"/>
        <v>0.32519338692552713</v>
      </c>
      <c r="J51" s="152">
        <f t="shared" si="9"/>
        <v>0.49208856131730594</v>
      </c>
      <c r="K51" s="152">
        <f t="shared" si="9"/>
        <v>0.69455894170368959</v>
      </c>
      <c r="L51" s="152">
        <f t="shared" si="9"/>
        <v>0.51108035430688692</v>
      </c>
    </row>
    <row r="53" spans="2:12" x14ac:dyDescent="0.3">
      <c r="B53" s="19" t="s">
        <v>289</v>
      </c>
    </row>
    <row r="55" spans="2:12" x14ac:dyDescent="0.3">
      <c r="B55" t="s">
        <v>288</v>
      </c>
      <c r="C55" s="63">
        <f>C51</f>
        <v>0.39347194276771735</v>
      </c>
      <c r="D55" s="63">
        <f t="shared" ref="D55:L55" si="10">D51</f>
        <v>0.30209944590894894</v>
      </c>
      <c r="E55" s="63">
        <f t="shared" si="10"/>
        <v>-4.2314202184951563E-2</v>
      </c>
      <c r="F55" s="63">
        <f t="shared" si="10"/>
        <v>0.39954190454048394</v>
      </c>
      <c r="G55" s="63">
        <f t="shared" si="10"/>
        <v>0.58108138942340615</v>
      </c>
      <c r="H55" s="63">
        <f t="shared" si="10"/>
        <v>0.38894303586054796</v>
      </c>
      <c r="I55" s="63">
        <f t="shared" si="10"/>
        <v>0.32519338692552713</v>
      </c>
      <c r="J55" s="63">
        <f t="shared" si="10"/>
        <v>0.49208856131730594</v>
      </c>
      <c r="K55" s="63">
        <f t="shared" si="10"/>
        <v>0.69455894170368959</v>
      </c>
      <c r="L55" s="63">
        <f t="shared" si="10"/>
        <v>0.51108035430688692</v>
      </c>
    </row>
    <row r="56" spans="2:12" x14ac:dyDescent="0.3">
      <c r="B56" t="s">
        <v>290</v>
      </c>
      <c r="C56" s="63">
        <f>C39</f>
        <v>0.53915187376725848</v>
      </c>
      <c r="D56" s="63">
        <f t="shared" ref="D56:L56" si="11">D39</f>
        <v>0.56182374541003688</v>
      </c>
      <c r="E56" s="63">
        <f t="shared" si="11"/>
        <v>0.68591029023746652</v>
      </c>
      <c r="F56" s="63">
        <f t="shared" si="11"/>
        <v>0.65537810383747153</v>
      </c>
      <c r="G56" s="63">
        <f t="shared" si="11"/>
        <v>0.60145928636779489</v>
      </c>
      <c r="H56" s="63">
        <f t="shared" si="11"/>
        <v>0.55270864946889231</v>
      </c>
      <c r="I56" s="63">
        <f t="shared" si="11"/>
        <v>0.56062925170068023</v>
      </c>
      <c r="J56" s="63">
        <f t="shared" si="11"/>
        <v>0.51280089988751387</v>
      </c>
      <c r="K56" s="63">
        <f t="shared" si="11"/>
        <v>0.54627799415774092</v>
      </c>
      <c r="L56" s="63">
        <f t="shared" si="11"/>
        <v>0.42965357539829552</v>
      </c>
    </row>
    <row r="58" spans="2:12" x14ac:dyDescent="0.3">
      <c r="B58" s="9" t="s">
        <v>291</v>
      </c>
      <c r="C58" s="124">
        <f>C56*C55</f>
        <v>0.2121411352180583</v>
      </c>
      <c r="D58" s="124">
        <f t="shared" ref="D58:L58" si="12">D56*D55</f>
        <v>0.16972664218686254</v>
      </c>
      <c r="E58" s="124">
        <f t="shared" si="12"/>
        <v>-2.9023746701846966E-2</v>
      </c>
      <c r="F58" s="124">
        <f t="shared" si="12"/>
        <v>0.26185101580135439</v>
      </c>
      <c r="G58" s="124">
        <f t="shared" si="12"/>
        <v>0.34949679780420856</v>
      </c>
      <c r="H58" s="124">
        <f t="shared" si="12"/>
        <v>0.21497218007081442</v>
      </c>
      <c r="I58" s="124">
        <f t="shared" si="12"/>
        <v>0.18231292517006806</v>
      </c>
      <c r="J58" s="124">
        <f t="shared" si="12"/>
        <v>0.25234345706786654</v>
      </c>
      <c r="K58" s="124">
        <f t="shared" si="12"/>
        <v>0.37942226549821484</v>
      </c>
      <c r="L58" s="124">
        <f t="shared" si="12"/>
        <v>0.21958750154378162</v>
      </c>
    </row>
  </sheetData>
  <mergeCells count="1">
    <mergeCell ref="B3:L3"/>
  </mergeCells>
  <pageMargins left="0.7" right="0.7" top="0.75" bottom="0.75" header="0.3" footer="0.3"/>
  <ignoredErrors>
    <ignoredError sqref="C43:L4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8"/>
  <sheetViews>
    <sheetView zoomScale="120" zoomScaleNormal="120" zoomScalePageLayoutView="120" workbookViewId="0">
      <pane xSplit="1" ySplit="1" topLeftCell="B84" activePane="bottomRight" state="frozen"/>
      <selection activeCell="C4" sqref="C4"/>
      <selection pane="topRight" activeCell="C4" sqref="C4"/>
      <selection pane="bottomLeft" activeCell="C4" sqref="C4"/>
      <selection pane="bottomRight" activeCell="D102" sqref="D102"/>
    </sheetView>
  </sheetViews>
  <sheetFormatPr defaultColWidth="8.77734375" defaultRowHeight="14.4" x14ac:dyDescent="0.3"/>
  <cols>
    <col min="1" max="1" width="27.6640625" style="2" bestFit="1" customWidth="1"/>
    <col min="2" max="2" width="30.6640625" style="2" customWidth="1"/>
    <col min="3" max="11" width="13.44140625" style="2" bestFit="1" customWidth="1"/>
    <col min="12" max="16384" width="8.77734375" style="2"/>
  </cols>
  <sheetData>
    <row r="1" spans="1:11" s="1" customFormat="1" x14ac:dyDescent="0.3">
      <c r="A1" s="1" t="s">
        <v>0</v>
      </c>
      <c r="B1" s="1" t="s">
        <v>32</v>
      </c>
      <c r="E1" s="145" t="str">
        <f>IF(B2&lt;&gt;B3, "A NEW VERSION OF THE WORKSHEET IS AVAILABLE", "")</f>
        <v/>
      </c>
      <c r="F1" s="145"/>
      <c r="G1" s="145"/>
      <c r="H1" s="145"/>
      <c r="I1" s="145"/>
      <c r="J1" s="145"/>
      <c r="K1" s="145"/>
    </row>
    <row r="2" spans="1:11" x14ac:dyDescent="0.3">
      <c r="A2" s="1" t="s">
        <v>30</v>
      </c>
      <c r="B2" s="2">
        <v>2.1</v>
      </c>
      <c r="E2" s="146" t="s">
        <v>21</v>
      </c>
      <c r="F2" s="146"/>
      <c r="G2" s="146"/>
      <c r="H2" s="146"/>
      <c r="I2" s="146"/>
      <c r="J2" s="146"/>
      <c r="K2" s="146"/>
    </row>
    <row r="3" spans="1:11" x14ac:dyDescent="0.3">
      <c r="A3" s="1" t="s">
        <v>31</v>
      </c>
      <c r="B3" s="2">
        <v>2.1</v>
      </c>
    </row>
    <row r="4" spans="1:11" x14ac:dyDescent="0.3">
      <c r="A4" s="1"/>
    </row>
    <row r="5" spans="1:11" x14ac:dyDescent="0.3">
      <c r="A5" s="1" t="s">
        <v>33</v>
      </c>
    </row>
    <row r="6" spans="1:11" x14ac:dyDescent="0.3">
      <c r="A6" s="2" t="s">
        <v>27</v>
      </c>
      <c r="B6" s="2">
        <f>IF(B9&gt;0, B9/B8, 0)</f>
        <v>116.58947958516305</v>
      </c>
    </row>
    <row r="7" spans="1:11" x14ac:dyDescent="0.3">
      <c r="A7" s="2" t="s">
        <v>16</v>
      </c>
      <c r="B7">
        <v>1</v>
      </c>
    </row>
    <row r="8" spans="1:11" x14ac:dyDescent="0.3">
      <c r="A8" s="2" t="s">
        <v>28</v>
      </c>
      <c r="B8">
        <v>535.15</v>
      </c>
    </row>
    <row r="9" spans="1:11" x14ac:dyDescent="0.3">
      <c r="A9" s="2" t="s">
        <v>43</v>
      </c>
      <c r="B9">
        <v>62392.86</v>
      </c>
    </row>
    <row r="12" spans="1:11" x14ac:dyDescent="0.3">
      <c r="E12" s="2" t="s">
        <v>249</v>
      </c>
    </row>
    <row r="15" spans="1:11" x14ac:dyDescent="0.3">
      <c r="A15" s="1" t="s">
        <v>22</v>
      </c>
    </row>
    <row r="16" spans="1:11" s="6" customFormat="1" x14ac:dyDescent="0.3">
      <c r="A16" s="5" t="s">
        <v>23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3">
      <c r="A17" s="3" t="s">
        <v>1</v>
      </c>
      <c r="B17">
        <v>4223.1000000000004</v>
      </c>
      <c r="C17">
        <v>4552.25</v>
      </c>
      <c r="D17">
        <v>5165.7299999999996</v>
      </c>
      <c r="E17">
        <v>6061.86</v>
      </c>
      <c r="F17">
        <v>6365.82</v>
      </c>
      <c r="G17">
        <v>6817.59</v>
      </c>
      <c r="H17">
        <v>8761.7800000000007</v>
      </c>
      <c r="I17">
        <v>10567.84</v>
      </c>
      <c r="J17">
        <v>11198.92</v>
      </c>
      <c r="K17">
        <v>11544.71</v>
      </c>
    </row>
    <row r="18" spans="1:11" s="3" customFormat="1" x14ac:dyDescent="0.3">
      <c r="A18" s="2" t="s">
        <v>44</v>
      </c>
      <c r="B18">
        <v>2489.81</v>
      </c>
      <c r="C18">
        <v>2357.66</v>
      </c>
      <c r="D18">
        <v>2730.63</v>
      </c>
      <c r="E18">
        <v>3426.09</v>
      </c>
      <c r="F18">
        <v>3306.65</v>
      </c>
      <c r="G18">
        <v>3579.29</v>
      </c>
      <c r="H18">
        <v>5124.6000000000004</v>
      </c>
      <c r="I18">
        <v>6065.6</v>
      </c>
      <c r="J18">
        <v>5804.34</v>
      </c>
      <c r="K18">
        <v>6155.9</v>
      </c>
    </row>
    <row r="19" spans="1:11" s="3" customFormat="1" x14ac:dyDescent="0.3">
      <c r="A19" s="2" t="s">
        <v>45</v>
      </c>
      <c r="B19">
        <v>19.62</v>
      </c>
      <c r="C19">
        <v>125.09</v>
      </c>
      <c r="D19">
        <v>99.97</v>
      </c>
      <c r="E19">
        <v>173.95</v>
      </c>
      <c r="F19">
        <v>18.8</v>
      </c>
      <c r="G19">
        <v>186.65</v>
      </c>
      <c r="H19">
        <v>381.49</v>
      </c>
      <c r="I19">
        <v>93.24</v>
      </c>
      <c r="J19">
        <v>-124.75</v>
      </c>
      <c r="K19">
        <v>134.41</v>
      </c>
    </row>
    <row r="20" spans="1:11" s="3" customFormat="1" x14ac:dyDescent="0.3">
      <c r="A20" s="2" t="s">
        <v>46</v>
      </c>
      <c r="B20">
        <v>42.15</v>
      </c>
      <c r="C20">
        <v>43.79</v>
      </c>
      <c r="D20">
        <v>48.27</v>
      </c>
      <c r="E20">
        <v>59.13</v>
      </c>
      <c r="F20">
        <v>58.54</v>
      </c>
      <c r="G20">
        <v>56.47</v>
      </c>
      <c r="H20">
        <v>68.13</v>
      </c>
      <c r="I20">
        <v>83.27</v>
      </c>
      <c r="J20">
        <v>88.32</v>
      </c>
      <c r="K20">
        <v>91.86</v>
      </c>
    </row>
    <row r="21" spans="1:11" s="3" customFormat="1" x14ac:dyDescent="0.3">
      <c r="A21" s="2" t="s">
        <v>47</v>
      </c>
      <c r="B21">
        <v>338.98</v>
      </c>
      <c r="C21">
        <v>733.4</v>
      </c>
      <c r="D21">
        <v>764.16</v>
      </c>
      <c r="E21">
        <v>896.83</v>
      </c>
      <c r="F21">
        <v>984.06</v>
      </c>
      <c r="G21">
        <v>1089.73</v>
      </c>
      <c r="H21">
        <v>1460.76</v>
      </c>
      <c r="I21">
        <v>1660.48</v>
      </c>
      <c r="J21">
        <v>1665.47</v>
      </c>
      <c r="K21">
        <v>1643.15</v>
      </c>
    </row>
    <row r="22" spans="1:11" s="3" customFormat="1" x14ac:dyDescent="0.3">
      <c r="A22" s="2" t="s">
        <v>48</v>
      </c>
      <c r="B22">
        <v>273.92</v>
      </c>
      <c r="C22">
        <v>307.16000000000003</v>
      </c>
      <c r="D22">
        <v>357.05</v>
      </c>
      <c r="E22">
        <v>408.96</v>
      </c>
      <c r="F22">
        <v>453.11</v>
      </c>
      <c r="G22">
        <v>485.71</v>
      </c>
      <c r="H22">
        <v>543.69000000000005</v>
      </c>
      <c r="I22">
        <v>609.76</v>
      </c>
      <c r="J22">
        <v>713.67</v>
      </c>
      <c r="K22">
        <v>817</v>
      </c>
    </row>
    <row r="23" spans="1:11" s="3" customFormat="1" x14ac:dyDescent="0.3">
      <c r="A23" s="2" t="s">
        <v>49</v>
      </c>
      <c r="B23">
        <v>311.10000000000002</v>
      </c>
      <c r="C23">
        <v>366</v>
      </c>
      <c r="D23">
        <v>367.81</v>
      </c>
      <c r="E23">
        <v>273.45</v>
      </c>
      <c r="F23">
        <v>430.17</v>
      </c>
      <c r="G23">
        <v>483.04</v>
      </c>
      <c r="H23">
        <v>501.2</v>
      </c>
      <c r="I23">
        <v>606.38</v>
      </c>
      <c r="J23">
        <v>793.7</v>
      </c>
      <c r="K23">
        <v>960.31</v>
      </c>
    </row>
    <row r="24" spans="1:11" s="3" customFormat="1" x14ac:dyDescent="0.3">
      <c r="A24" s="2" t="s">
        <v>50</v>
      </c>
      <c r="B24">
        <v>141.97999999999999</v>
      </c>
      <c r="C24">
        <v>150.41999999999999</v>
      </c>
      <c r="D24">
        <v>190.78</v>
      </c>
      <c r="E24">
        <v>236.71</v>
      </c>
      <c r="F24">
        <v>99.4</v>
      </c>
      <c r="G24">
        <v>127.63</v>
      </c>
      <c r="H24">
        <v>113.82</v>
      </c>
      <c r="I24">
        <v>157.80000000000001</v>
      </c>
      <c r="J24">
        <v>147.35</v>
      </c>
      <c r="K24">
        <v>154.44</v>
      </c>
    </row>
    <row r="25" spans="1:11" s="3" customFormat="1" x14ac:dyDescent="0.3">
      <c r="A25" s="3" t="s">
        <v>4</v>
      </c>
      <c r="B25">
        <v>40.33</v>
      </c>
      <c r="C25">
        <v>108.44</v>
      </c>
      <c r="D25">
        <v>46.5</v>
      </c>
      <c r="E25">
        <v>60.03</v>
      </c>
      <c r="F25">
        <v>68.52</v>
      </c>
      <c r="G25">
        <v>51.49</v>
      </c>
      <c r="H25">
        <v>68.45</v>
      </c>
      <c r="I25">
        <v>47.81</v>
      </c>
      <c r="J25">
        <v>104.7</v>
      </c>
      <c r="K25">
        <v>129.47</v>
      </c>
    </row>
    <row r="26" spans="1:11" s="3" customFormat="1" x14ac:dyDescent="0.3">
      <c r="A26" s="3" t="s">
        <v>5</v>
      </c>
      <c r="B26">
        <v>98.65</v>
      </c>
      <c r="C26">
        <v>108.05</v>
      </c>
      <c r="D26">
        <v>124.21</v>
      </c>
      <c r="E26">
        <v>182.27</v>
      </c>
      <c r="F26">
        <v>191.01</v>
      </c>
      <c r="G26">
        <v>211.14</v>
      </c>
      <c r="H26">
        <v>226.51</v>
      </c>
      <c r="I26">
        <v>264.02999999999997</v>
      </c>
      <c r="J26">
        <v>330.88</v>
      </c>
      <c r="K26">
        <v>354.19</v>
      </c>
    </row>
    <row r="27" spans="1:11" s="3" customFormat="1" x14ac:dyDescent="0.3">
      <c r="A27" s="3" t="s">
        <v>6</v>
      </c>
      <c r="B27">
        <v>27.28</v>
      </c>
      <c r="C27">
        <v>16.22</v>
      </c>
      <c r="D27">
        <v>24.55</v>
      </c>
      <c r="E27">
        <v>47.24</v>
      </c>
      <c r="F27">
        <v>47.04</v>
      </c>
      <c r="G27">
        <v>44.1</v>
      </c>
      <c r="H27">
        <v>50.72</v>
      </c>
      <c r="I27">
        <v>99.23</v>
      </c>
      <c r="J27">
        <v>78.25</v>
      </c>
      <c r="K27">
        <v>63.27</v>
      </c>
    </row>
    <row r="28" spans="1:11" s="3" customFormat="1" x14ac:dyDescent="0.3">
      <c r="A28" s="3" t="s">
        <v>7</v>
      </c>
      <c r="B28">
        <v>559.17999999999995</v>
      </c>
      <c r="C28">
        <v>703.08</v>
      </c>
      <c r="D28">
        <v>704.74</v>
      </c>
      <c r="E28">
        <v>765.16</v>
      </c>
      <c r="F28">
        <v>883.16</v>
      </c>
      <c r="G28">
        <v>978.62</v>
      </c>
      <c r="H28">
        <v>1122.29</v>
      </c>
      <c r="I28">
        <v>1162.3399999999999</v>
      </c>
      <c r="J28">
        <v>1556.89</v>
      </c>
      <c r="K28">
        <v>1568.47</v>
      </c>
    </row>
    <row r="29" spans="1:11" s="3" customFormat="1" x14ac:dyDescent="0.3">
      <c r="A29" s="3" t="s">
        <v>8</v>
      </c>
      <c r="B29">
        <v>188.62</v>
      </c>
      <c r="C29">
        <v>229.42</v>
      </c>
      <c r="D29">
        <v>243.91</v>
      </c>
      <c r="E29">
        <v>271.27</v>
      </c>
      <c r="F29">
        <v>227.06</v>
      </c>
      <c r="G29">
        <v>258.89999999999998</v>
      </c>
      <c r="H29">
        <v>289.33999999999997</v>
      </c>
      <c r="I29">
        <v>301.94</v>
      </c>
      <c r="J29">
        <v>387.07</v>
      </c>
      <c r="K29">
        <v>385.66</v>
      </c>
    </row>
    <row r="30" spans="1:11" s="3" customFormat="1" x14ac:dyDescent="0.3">
      <c r="A30" s="3" t="s">
        <v>9</v>
      </c>
      <c r="B30">
        <v>370.56</v>
      </c>
      <c r="C30">
        <v>473.66</v>
      </c>
      <c r="D30">
        <v>460.83</v>
      </c>
      <c r="E30">
        <v>494.3</v>
      </c>
      <c r="F30">
        <v>657.81</v>
      </c>
      <c r="G30">
        <v>719.75</v>
      </c>
      <c r="H30">
        <v>832.82</v>
      </c>
      <c r="I30">
        <v>859.42</v>
      </c>
      <c r="J30">
        <v>1167.74</v>
      </c>
      <c r="K30">
        <v>1180.4000000000001</v>
      </c>
    </row>
    <row r="31" spans="1:11" s="3" customFormat="1" x14ac:dyDescent="0.3">
      <c r="A31" s="3" t="s">
        <v>34</v>
      </c>
      <c r="B31">
        <v>114.43</v>
      </c>
      <c r="C31">
        <v>169.92</v>
      </c>
      <c r="D31">
        <v>174.78</v>
      </c>
      <c r="E31">
        <v>184.51</v>
      </c>
      <c r="F31">
        <v>213.66</v>
      </c>
      <c r="G31">
        <v>271.95999999999998</v>
      </c>
      <c r="H31">
        <v>301.10000000000002</v>
      </c>
      <c r="I31">
        <v>310.85000000000002</v>
      </c>
      <c r="J31">
        <v>408.03</v>
      </c>
      <c r="K31">
        <v>443.04</v>
      </c>
    </row>
    <row r="32" spans="1:11" s="3" customFormat="1" x14ac:dyDescent="0.3"/>
    <row r="33" spans="1:11" x14ac:dyDescent="0.3">
      <c r="A33" s="3"/>
    </row>
    <row r="34" spans="1:11" x14ac:dyDescent="0.3">
      <c r="A34" s="3"/>
    </row>
    <row r="35" spans="1:11" x14ac:dyDescent="0.3">
      <c r="A35" s="3"/>
    </row>
    <row r="36" spans="1:11" x14ac:dyDescent="0.3">
      <c r="A36" s="3"/>
    </row>
    <row r="37" spans="1:11" x14ac:dyDescent="0.3">
      <c r="A37" s="3"/>
    </row>
    <row r="38" spans="1:11" x14ac:dyDescent="0.3">
      <c r="A38" s="3"/>
    </row>
    <row r="39" spans="1:11" x14ac:dyDescent="0.3">
      <c r="A39" s="3"/>
    </row>
    <row r="40" spans="1:11" x14ac:dyDescent="0.3">
      <c r="A40" s="1" t="s">
        <v>24</v>
      </c>
    </row>
    <row r="41" spans="1:11" s="6" customFormat="1" x14ac:dyDescent="0.3">
      <c r="A41" s="5" t="s">
        <v>23</v>
      </c>
      <c r="B41" s="4">
        <v>45016</v>
      </c>
      <c r="C41" s="4">
        <v>45107</v>
      </c>
      <c r="D41" s="4">
        <v>45199</v>
      </c>
      <c r="E41" s="4">
        <v>45291</v>
      </c>
      <c r="F41" s="4">
        <v>45382</v>
      </c>
      <c r="G41" s="4">
        <v>45473</v>
      </c>
      <c r="H41" s="4">
        <v>45565</v>
      </c>
      <c r="I41" s="4">
        <v>45657</v>
      </c>
      <c r="J41" s="4">
        <v>45747</v>
      </c>
      <c r="K41" s="4">
        <v>45838</v>
      </c>
    </row>
    <row r="42" spans="1:11" s="3" customFormat="1" x14ac:dyDescent="0.3">
      <c r="A42" s="3" t="s">
        <v>1</v>
      </c>
      <c r="B42">
        <v>2443.63</v>
      </c>
      <c r="C42">
        <v>3029.51</v>
      </c>
      <c r="D42">
        <v>2767.3</v>
      </c>
      <c r="E42">
        <v>2881.83</v>
      </c>
      <c r="F42">
        <v>2520.2800000000002</v>
      </c>
      <c r="G42">
        <v>3091.01</v>
      </c>
      <c r="H42">
        <v>2774.61</v>
      </c>
      <c r="I42">
        <v>2975.06</v>
      </c>
      <c r="J42">
        <v>2704.03</v>
      </c>
      <c r="K42">
        <v>3200.76</v>
      </c>
    </row>
    <row r="43" spans="1:11" s="3" customFormat="1" x14ac:dyDescent="0.3">
      <c r="A43" s="3" t="s">
        <v>2</v>
      </c>
      <c r="B43">
        <v>2097.06</v>
      </c>
      <c r="C43">
        <v>2472.7600000000002</v>
      </c>
      <c r="D43">
        <v>2293.65</v>
      </c>
      <c r="E43">
        <v>2401.79</v>
      </c>
      <c r="F43">
        <v>2169.4</v>
      </c>
      <c r="G43">
        <v>2568.6</v>
      </c>
      <c r="H43">
        <v>2340.4299999999998</v>
      </c>
      <c r="I43">
        <v>2503.33</v>
      </c>
      <c r="J43">
        <v>2276.2600000000002</v>
      </c>
      <c r="K43">
        <v>2672.35</v>
      </c>
    </row>
    <row r="44" spans="1:11" s="3" customFormat="1" x14ac:dyDescent="0.3">
      <c r="A44" s="3" t="s">
        <v>4</v>
      </c>
      <c r="B44">
        <v>15.07</v>
      </c>
      <c r="C44">
        <v>17.350000000000001</v>
      </c>
      <c r="D44">
        <v>19.11</v>
      </c>
      <c r="E44">
        <v>20.34</v>
      </c>
      <c r="F44">
        <v>47.9</v>
      </c>
      <c r="G44">
        <v>45.95</v>
      </c>
      <c r="H44">
        <v>29.96</v>
      </c>
      <c r="I44">
        <v>27.48</v>
      </c>
      <c r="J44">
        <v>26.45</v>
      </c>
      <c r="K44">
        <v>2.82</v>
      </c>
    </row>
    <row r="45" spans="1:11" s="3" customFormat="1" x14ac:dyDescent="0.3">
      <c r="A45" s="3" t="s">
        <v>5</v>
      </c>
      <c r="B45">
        <v>74.41</v>
      </c>
      <c r="C45">
        <v>78.209999999999994</v>
      </c>
      <c r="D45">
        <v>82.87</v>
      </c>
      <c r="E45">
        <v>82.91</v>
      </c>
      <c r="F45">
        <v>86.89</v>
      </c>
      <c r="G45">
        <v>87.21</v>
      </c>
      <c r="H45">
        <v>88.98</v>
      </c>
      <c r="I45">
        <v>88.81</v>
      </c>
      <c r="J45">
        <v>89.19</v>
      </c>
      <c r="K45">
        <v>93.98</v>
      </c>
    </row>
    <row r="46" spans="1:11" s="3" customFormat="1" x14ac:dyDescent="0.3">
      <c r="A46" s="3" t="s">
        <v>6</v>
      </c>
      <c r="B46">
        <v>29.3</v>
      </c>
      <c r="C46">
        <v>19.71</v>
      </c>
      <c r="D46">
        <v>21.08</v>
      </c>
      <c r="E46">
        <v>19.62</v>
      </c>
      <c r="F46">
        <v>17.84</v>
      </c>
      <c r="G46">
        <v>15.17</v>
      </c>
      <c r="H46">
        <v>17.010000000000002</v>
      </c>
      <c r="I46">
        <v>15.99</v>
      </c>
      <c r="J46">
        <v>15.1</v>
      </c>
      <c r="K46">
        <v>14.48</v>
      </c>
    </row>
    <row r="47" spans="1:11" s="3" customFormat="1" x14ac:dyDescent="0.3">
      <c r="A47" s="3" t="s">
        <v>7</v>
      </c>
      <c r="B47">
        <v>257.93</v>
      </c>
      <c r="C47">
        <v>476.18</v>
      </c>
      <c r="D47">
        <v>388.81</v>
      </c>
      <c r="E47">
        <v>397.85</v>
      </c>
      <c r="F47">
        <v>294.05</v>
      </c>
      <c r="G47">
        <v>465.98</v>
      </c>
      <c r="H47">
        <v>358.15</v>
      </c>
      <c r="I47">
        <v>394.41</v>
      </c>
      <c r="J47">
        <v>349.93</v>
      </c>
      <c r="K47">
        <v>422.77</v>
      </c>
    </row>
    <row r="48" spans="1:11" s="3" customFormat="1" x14ac:dyDescent="0.3">
      <c r="A48" s="3" t="s">
        <v>8</v>
      </c>
      <c r="B48">
        <v>71.92</v>
      </c>
      <c r="C48">
        <v>121.27</v>
      </c>
      <c r="D48">
        <v>96.68</v>
      </c>
      <c r="E48">
        <v>97.69</v>
      </c>
      <c r="F48">
        <v>71.430000000000007</v>
      </c>
      <c r="G48">
        <v>111.95</v>
      </c>
      <c r="H48">
        <v>88.25</v>
      </c>
      <c r="I48">
        <v>98.44</v>
      </c>
      <c r="J48">
        <v>87.02</v>
      </c>
      <c r="K48">
        <v>107.73</v>
      </c>
    </row>
    <row r="49" spans="1:11" s="3" customFormat="1" x14ac:dyDescent="0.3">
      <c r="A49" s="3" t="s">
        <v>9</v>
      </c>
      <c r="B49">
        <v>185.69</v>
      </c>
      <c r="C49">
        <v>354.35</v>
      </c>
      <c r="D49">
        <v>291.64</v>
      </c>
      <c r="E49">
        <v>299.64999999999998</v>
      </c>
      <c r="F49">
        <v>222.1</v>
      </c>
      <c r="G49">
        <v>353.56</v>
      </c>
      <c r="H49">
        <v>269.66000000000003</v>
      </c>
      <c r="I49">
        <v>295.13</v>
      </c>
      <c r="J49">
        <v>262.05</v>
      </c>
      <c r="K49">
        <v>314.63</v>
      </c>
    </row>
    <row r="50" spans="1:11" x14ac:dyDescent="0.3">
      <c r="A50" s="3" t="s">
        <v>3</v>
      </c>
      <c r="B50">
        <v>346.57</v>
      </c>
      <c r="C50">
        <v>556.75</v>
      </c>
      <c r="D50">
        <v>473.65</v>
      </c>
      <c r="E50">
        <v>480.04</v>
      </c>
      <c r="F50">
        <v>350.88</v>
      </c>
      <c r="G50">
        <v>522.41</v>
      </c>
      <c r="H50">
        <v>434.18</v>
      </c>
      <c r="I50">
        <v>471.73</v>
      </c>
      <c r="J50">
        <v>427.77</v>
      </c>
      <c r="K50">
        <v>528.41</v>
      </c>
    </row>
    <row r="51" spans="1:11" x14ac:dyDescent="0.3">
      <c r="A51" s="3"/>
    </row>
    <row r="52" spans="1:11" x14ac:dyDescent="0.3">
      <c r="A52" s="3"/>
    </row>
    <row r="53" spans="1:11" x14ac:dyDescent="0.3">
      <c r="A53" s="3"/>
    </row>
    <row r="54" spans="1:11" x14ac:dyDescent="0.3">
      <c r="A54" s="3"/>
    </row>
    <row r="55" spans="1:11" x14ac:dyDescent="0.3">
      <c r="A55" s="1" t="s">
        <v>25</v>
      </c>
    </row>
    <row r="56" spans="1:11" s="6" customFormat="1" x14ac:dyDescent="0.3">
      <c r="A56" s="5" t="s">
        <v>23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3">
      <c r="A57" s="3" t="s">
        <v>10</v>
      </c>
      <c r="B57">
        <v>69.349999999999994</v>
      </c>
      <c r="C57">
        <v>97.1</v>
      </c>
      <c r="D57">
        <v>97.1</v>
      </c>
      <c r="E57">
        <v>97.11</v>
      </c>
      <c r="F57">
        <v>97.12</v>
      </c>
      <c r="G57">
        <v>97.13</v>
      </c>
      <c r="H57">
        <v>97.13</v>
      </c>
      <c r="I57">
        <v>97.14</v>
      </c>
      <c r="J57">
        <v>116.58</v>
      </c>
      <c r="K57">
        <v>116.59</v>
      </c>
    </row>
    <row r="58" spans="1:11" x14ac:dyDescent="0.3">
      <c r="A58" s="3" t="s">
        <v>11</v>
      </c>
      <c r="B58">
        <v>1492.74</v>
      </c>
      <c r="C58">
        <v>1804.46</v>
      </c>
      <c r="D58">
        <v>2097.41</v>
      </c>
      <c r="E58">
        <v>2346.6999999999998</v>
      </c>
      <c r="F58">
        <v>2563.0100000000002</v>
      </c>
      <c r="G58">
        <v>3279.74</v>
      </c>
      <c r="H58">
        <v>3829.86</v>
      </c>
      <c r="I58">
        <v>4396.9799999999996</v>
      </c>
      <c r="J58">
        <v>5262.39</v>
      </c>
      <c r="K58">
        <v>6037.51</v>
      </c>
    </row>
    <row r="59" spans="1:11" x14ac:dyDescent="0.3">
      <c r="A59" s="3" t="s">
        <v>35</v>
      </c>
      <c r="B59">
        <v>354.41</v>
      </c>
      <c r="C59">
        <v>406.21</v>
      </c>
      <c r="D59">
        <v>422.17</v>
      </c>
      <c r="E59">
        <v>752.94</v>
      </c>
      <c r="F59">
        <v>766.9</v>
      </c>
      <c r="G59">
        <v>633.76</v>
      </c>
      <c r="H59">
        <v>1013.53</v>
      </c>
      <c r="I59">
        <v>1188.97</v>
      </c>
      <c r="J59">
        <v>753.29</v>
      </c>
      <c r="K59">
        <v>670.27</v>
      </c>
    </row>
    <row r="60" spans="1:11" x14ac:dyDescent="0.3">
      <c r="A60" s="3" t="s">
        <v>36</v>
      </c>
      <c r="B60">
        <v>960.29</v>
      </c>
      <c r="C60">
        <v>1131.8</v>
      </c>
      <c r="D60">
        <v>1325.97</v>
      </c>
      <c r="E60">
        <v>1359.92</v>
      </c>
      <c r="F60">
        <v>1472.47</v>
      </c>
      <c r="G60">
        <v>1907.01</v>
      </c>
      <c r="H60">
        <v>2270.9699999999998</v>
      </c>
      <c r="I60">
        <v>2283.3200000000002</v>
      </c>
      <c r="J60">
        <v>2235.54</v>
      </c>
      <c r="K60">
        <v>2300.4499999999998</v>
      </c>
    </row>
    <row r="61" spans="1:11" s="1" customFormat="1" x14ac:dyDescent="0.3">
      <c r="A61" s="1" t="s">
        <v>12</v>
      </c>
      <c r="B61">
        <v>2876.79</v>
      </c>
      <c r="C61">
        <v>3439.57</v>
      </c>
      <c r="D61">
        <v>3942.65</v>
      </c>
      <c r="E61">
        <v>4556.67</v>
      </c>
      <c r="F61">
        <v>4899.5</v>
      </c>
      <c r="G61">
        <v>5917.64</v>
      </c>
      <c r="H61">
        <v>7211.49</v>
      </c>
      <c r="I61">
        <v>7966.41</v>
      </c>
      <c r="J61">
        <v>8367.7999999999993</v>
      </c>
      <c r="K61">
        <v>9124.82</v>
      </c>
    </row>
    <row r="62" spans="1:11" x14ac:dyDescent="0.3">
      <c r="A62" s="3" t="s">
        <v>13</v>
      </c>
      <c r="B62">
        <v>962.92</v>
      </c>
      <c r="C62">
        <v>1135.96</v>
      </c>
      <c r="D62">
        <v>1267.17</v>
      </c>
      <c r="E62">
        <v>1582.65</v>
      </c>
      <c r="F62">
        <v>1915.57</v>
      </c>
      <c r="G62">
        <v>2044.22</v>
      </c>
      <c r="H62">
        <v>2186.81</v>
      </c>
      <c r="I62">
        <v>3331.57</v>
      </c>
      <c r="J62">
        <v>3499.72</v>
      </c>
      <c r="K62">
        <v>3676.99</v>
      </c>
    </row>
    <row r="63" spans="1:11" x14ac:dyDescent="0.3">
      <c r="A63" s="3" t="s">
        <v>14</v>
      </c>
      <c r="B63">
        <v>51.06</v>
      </c>
      <c r="C63">
        <v>62.21</v>
      </c>
      <c r="D63">
        <v>97.16</v>
      </c>
      <c r="E63">
        <v>169.89</v>
      </c>
      <c r="F63">
        <v>178.49</v>
      </c>
      <c r="G63">
        <v>106.75</v>
      </c>
      <c r="H63">
        <v>605.51</v>
      </c>
      <c r="I63">
        <v>110.54</v>
      </c>
      <c r="J63">
        <v>188.95</v>
      </c>
      <c r="K63">
        <v>125.32</v>
      </c>
    </row>
    <row r="64" spans="1:11" x14ac:dyDescent="0.3">
      <c r="A64" s="3" t="s">
        <v>15</v>
      </c>
      <c r="B64">
        <v>347.54</v>
      </c>
      <c r="C64">
        <v>472.13</v>
      </c>
      <c r="D64">
        <v>333.13</v>
      </c>
      <c r="E64">
        <v>394.92</v>
      </c>
      <c r="F64">
        <v>315.17</v>
      </c>
      <c r="G64">
        <v>355.67</v>
      </c>
      <c r="H64">
        <v>234.33</v>
      </c>
      <c r="I64">
        <v>183.11</v>
      </c>
      <c r="J64">
        <v>255.07</v>
      </c>
      <c r="K64">
        <v>532.63</v>
      </c>
    </row>
    <row r="65" spans="1:11" x14ac:dyDescent="0.3">
      <c r="A65" s="3" t="s">
        <v>37</v>
      </c>
      <c r="B65">
        <v>1515.27</v>
      </c>
      <c r="C65">
        <v>1769.27</v>
      </c>
      <c r="D65">
        <v>2245.19</v>
      </c>
      <c r="E65">
        <v>2409.21</v>
      </c>
      <c r="F65">
        <v>2490.27</v>
      </c>
      <c r="G65">
        <v>3411</v>
      </c>
      <c r="H65">
        <v>4184.84</v>
      </c>
      <c r="I65">
        <v>4341.1899999999996</v>
      </c>
      <c r="J65">
        <v>4424.0600000000004</v>
      </c>
      <c r="K65">
        <v>4789.88</v>
      </c>
    </row>
    <row r="66" spans="1:11" s="1" customFormat="1" x14ac:dyDescent="0.3">
      <c r="A66" s="1" t="s">
        <v>12</v>
      </c>
      <c r="B66">
        <v>2876.79</v>
      </c>
      <c r="C66">
        <v>3439.57</v>
      </c>
      <c r="D66">
        <v>3942.65</v>
      </c>
      <c r="E66">
        <v>4556.67</v>
      </c>
      <c r="F66">
        <v>4899.5</v>
      </c>
      <c r="G66">
        <v>5917.64</v>
      </c>
      <c r="H66">
        <v>7211.49</v>
      </c>
      <c r="I66">
        <v>7966.41</v>
      </c>
      <c r="J66">
        <v>8367.7999999999993</v>
      </c>
      <c r="K66">
        <v>9124.82</v>
      </c>
    </row>
    <row r="67" spans="1:11" s="3" customFormat="1" x14ac:dyDescent="0.3">
      <c r="A67" s="3" t="s">
        <v>42</v>
      </c>
      <c r="B67">
        <v>545.4</v>
      </c>
      <c r="C67">
        <v>578.14</v>
      </c>
      <c r="D67">
        <v>692.4</v>
      </c>
      <c r="E67">
        <v>671.48</v>
      </c>
      <c r="F67">
        <v>714.11</v>
      </c>
      <c r="G67">
        <v>1019.72</v>
      </c>
      <c r="H67">
        <v>1053.68</v>
      </c>
      <c r="I67">
        <v>1243.1199999999999</v>
      </c>
      <c r="J67">
        <v>1302.02</v>
      </c>
      <c r="K67">
        <v>1535.67</v>
      </c>
    </row>
    <row r="68" spans="1:11" x14ac:dyDescent="0.3">
      <c r="A68" s="3" t="s">
        <v>29</v>
      </c>
      <c r="B68">
        <v>733.23</v>
      </c>
      <c r="C68">
        <v>935.47</v>
      </c>
      <c r="D68">
        <v>1007.34</v>
      </c>
      <c r="E68">
        <v>1233.53</v>
      </c>
      <c r="F68">
        <v>1278.46</v>
      </c>
      <c r="G68">
        <v>1616.13</v>
      </c>
      <c r="H68">
        <v>2315.83</v>
      </c>
      <c r="I68">
        <v>2319.12</v>
      </c>
      <c r="J68">
        <v>2179.6799999999998</v>
      </c>
      <c r="K68">
        <v>2366.14</v>
      </c>
    </row>
    <row r="69" spans="1:11" x14ac:dyDescent="0.3">
      <c r="A69" s="2" t="s">
        <v>51</v>
      </c>
      <c r="B69">
        <v>105.33</v>
      </c>
      <c r="C69">
        <v>102.45</v>
      </c>
      <c r="D69">
        <v>204.97</v>
      </c>
      <c r="E69">
        <v>238.48</v>
      </c>
      <c r="F69">
        <v>219.93</v>
      </c>
      <c r="G69">
        <v>439.61</v>
      </c>
      <c r="H69">
        <v>312.95</v>
      </c>
      <c r="I69">
        <v>244.69</v>
      </c>
      <c r="J69">
        <v>450.65</v>
      </c>
      <c r="K69">
        <v>500.48</v>
      </c>
    </row>
    <row r="70" spans="1:11" x14ac:dyDescent="0.3">
      <c r="A70" s="2" t="s">
        <v>38</v>
      </c>
      <c r="B70">
        <v>693477912</v>
      </c>
      <c r="C70">
        <v>970986647</v>
      </c>
      <c r="D70">
        <v>970986647</v>
      </c>
      <c r="E70">
        <v>971122908</v>
      </c>
      <c r="F70">
        <v>971219780</v>
      </c>
      <c r="G70">
        <v>971295037</v>
      </c>
      <c r="H70">
        <v>971295037</v>
      </c>
      <c r="I70">
        <v>971422485</v>
      </c>
      <c r="J70">
        <v>1165796049</v>
      </c>
      <c r="K70">
        <v>1165894779</v>
      </c>
    </row>
    <row r="71" spans="1:11" x14ac:dyDescent="0.3">
      <c r="A71" s="2" t="s">
        <v>39</v>
      </c>
      <c r="J71">
        <v>194284497</v>
      </c>
    </row>
    <row r="72" spans="1:11" x14ac:dyDescent="0.3">
      <c r="A72" s="2" t="s">
        <v>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3"/>
    </row>
    <row r="75" spans="1:11" x14ac:dyDescent="0.3">
      <c r="A75" s="3"/>
    </row>
    <row r="76" spans="1:11" x14ac:dyDescent="0.3">
      <c r="A76" s="3"/>
    </row>
    <row r="77" spans="1:11" x14ac:dyDescent="0.3">
      <c r="A77" s="3"/>
    </row>
    <row r="78" spans="1:11" x14ac:dyDescent="0.3">
      <c r="A78" s="3"/>
    </row>
    <row r="79" spans="1:11" x14ac:dyDescent="0.3">
      <c r="A79" s="3"/>
    </row>
    <row r="80" spans="1:11" x14ac:dyDescent="0.3">
      <c r="A80" s="1" t="s">
        <v>26</v>
      </c>
    </row>
    <row r="81" spans="1:13" s="6" customFormat="1" x14ac:dyDescent="0.3">
      <c r="A81" s="5" t="s">
        <v>23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3" s="1" customFormat="1" x14ac:dyDescent="0.3">
      <c r="A82" s="3" t="s">
        <v>17</v>
      </c>
      <c r="B82">
        <v>594.57000000000005</v>
      </c>
      <c r="C82">
        <v>394.5</v>
      </c>
      <c r="D82">
        <v>421.9</v>
      </c>
      <c r="E82">
        <v>610.84</v>
      </c>
      <c r="F82">
        <v>724.64</v>
      </c>
      <c r="G82">
        <v>795.76</v>
      </c>
      <c r="H82">
        <v>566.5</v>
      </c>
      <c r="I82">
        <v>975.57</v>
      </c>
      <c r="J82">
        <v>1591.05</v>
      </c>
      <c r="K82">
        <v>1269.05</v>
      </c>
    </row>
    <row r="83" spans="1:13" s="3" customFormat="1" x14ac:dyDescent="0.3">
      <c r="A83" s="3" t="s">
        <v>18</v>
      </c>
      <c r="B83">
        <v>-259.20999999999998</v>
      </c>
      <c r="C83">
        <v>-308.39999999999998</v>
      </c>
      <c r="D83">
        <v>-183.43</v>
      </c>
      <c r="E83">
        <v>-378.59</v>
      </c>
      <c r="F83">
        <v>-223.37</v>
      </c>
      <c r="G83">
        <v>-456.7</v>
      </c>
      <c r="H83">
        <v>-521.29</v>
      </c>
      <c r="I83">
        <v>-599.85</v>
      </c>
      <c r="J83">
        <v>-398.09</v>
      </c>
      <c r="K83">
        <v>-649.82000000000005</v>
      </c>
    </row>
    <row r="84" spans="1:13" s="3" customFormat="1" x14ac:dyDescent="0.3">
      <c r="A84" s="3" t="s">
        <v>19</v>
      </c>
      <c r="B84">
        <v>-367.63</v>
      </c>
      <c r="C84">
        <v>-82.42</v>
      </c>
      <c r="D84">
        <v>-200.13</v>
      </c>
      <c r="E84">
        <v>-258.77</v>
      </c>
      <c r="F84">
        <v>-479.42</v>
      </c>
      <c r="G84">
        <v>-281.76</v>
      </c>
      <c r="H84">
        <v>-78.13</v>
      </c>
      <c r="I84">
        <v>-362.85</v>
      </c>
      <c r="J84">
        <v>-1068.8699999999999</v>
      </c>
      <c r="K84">
        <v>-605.54</v>
      </c>
    </row>
    <row r="85" spans="1:13" s="1" customFormat="1" x14ac:dyDescent="0.3">
      <c r="A85" s="3" t="s">
        <v>20</v>
      </c>
      <c r="B85">
        <v>-32.270000000000003</v>
      </c>
      <c r="C85">
        <v>3.68</v>
      </c>
      <c r="D85">
        <v>38.340000000000003</v>
      </c>
      <c r="E85">
        <v>-26.52</v>
      </c>
      <c r="F85">
        <v>21.85</v>
      </c>
      <c r="G85">
        <v>57.3</v>
      </c>
      <c r="H85">
        <v>-32.92</v>
      </c>
      <c r="I85">
        <v>12.87</v>
      </c>
      <c r="J85">
        <v>124.09</v>
      </c>
      <c r="K85">
        <v>13.69</v>
      </c>
    </row>
    <row r="86" spans="1:13" x14ac:dyDescent="0.3">
      <c r="A86" s="3"/>
    </row>
    <row r="87" spans="1:13" x14ac:dyDescent="0.3">
      <c r="B87" s="49">
        <v>41699</v>
      </c>
      <c r="C87" s="50">
        <v>42064</v>
      </c>
      <c r="D87" s="50">
        <v>42430</v>
      </c>
      <c r="E87" s="50">
        <v>42795</v>
      </c>
      <c r="F87" s="50">
        <v>43160</v>
      </c>
      <c r="G87" s="50">
        <v>43525</v>
      </c>
      <c r="H87" s="50">
        <v>43891</v>
      </c>
      <c r="I87" s="50">
        <v>44256</v>
      </c>
      <c r="J87" s="50">
        <v>44621</v>
      </c>
      <c r="K87" s="50">
        <v>44986</v>
      </c>
      <c r="L87" s="50">
        <v>45352</v>
      </c>
      <c r="M87" s="50">
        <v>45717</v>
      </c>
    </row>
    <row r="88" spans="1:13" x14ac:dyDescent="0.3">
      <c r="A88" s="1" t="s">
        <v>83</v>
      </c>
      <c r="B88" s="2">
        <v>310</v>
      </c>
      <c r="C88" s="2">
        <v>414</v>
      </c>
      <c r="D88" s="2">
        <v>595</v>
      </c>
      <c r="E88" s="2">
        <v>394</v>
      </c>
      <c r="F88" s="2">
        <v>422</v>
      </c>
      <c r="G88" s="2">
        <v>611</v>
      </c>
      <c r="H88" s="2">
        <v>725</v>
      </c>
      <c r="I88" s="2">
        <v>796</v>
      </c>
      <c r="J88" s="2">
        <v>566</v>
      </c>
      <c r="K88" s="2">
        <v>976</v>
      </c>
      <c r="L88" s="2">
        <v>1591</v>
      </c>
      <c r="M88" s="2">
        <v>1269</v>
      </c>
    </row>
    <row r="89" spans="1:13" x14ac:dyDescent="0.3">
      <c r="A89" s="3" t="s">
        <v>84</v>
      </c>
      <c r="B89" s="2">
        <v>438</v>
      </c>
      <c r="C89" s="2">
        <v>524</v>
      </c>
      <c r="D89" s="2">
        <v>659</v>
      </c>
      <c r="E89" s="2">
        <v>742</v>
      </c>
      <c r="F89" s="2">
        <v>827</v>
      </c>
      <c r="G89" s="2">
        <v>946</v>
      </c>
      <c r="H89" s="2">
        <v>1087</v>
      </c>
      <c r="I89" s="2">
        <v>1216</v>
      </c>
      <c r="J89" s="2">
        <v>1356</v>
      </c>
      <c r="K89" s="2">
        <v>1543</v>
      </c>
      <c r="L89" s="2">
        <v>1909</v>
      </c>
      <c r="M89" s="2">
        <v>1917</v>
      </c>
    </row>
    <row r="90" spans="1:13" x14ac:dyDescent="0.3">
      <c r="A90" s="3" t="s">
        <v>42</v>
      </c>
      <c r="B90" s="2">
        <v>-101</v>
      </c>
      <c r="C90" s="2">
        <v>-49</v>
      </c>
      <c r="D90" s="2">
        <v>-44</v>
      </c>
      <c r="E90" s="2">
        <v>-34</v>
      </c>
      <c r="F90" s="2">
        <v>-114</v>
      </c>
      <c r="G90" s="2">
        <v>21</v>
      </c>
      <c r="H90" s="2">
        <v>-43</v>
      </c>
      <c r="I90" s="2">
        <v>-306</v>
      </c>
      <c r="J90" s="2">
        <v>-34</v>
      </c>
      <c r="K90" s="2">
        <v>-212</v>
      </c>
      <c r="L90" s="2">
        <v>-103</v>
      </c>
      <c r="M90" s="2">
        <v>-132</v>
      </c>
    </row>
    <row r="91" spans="1:13" x14ac:dyDescent="0.3">
      <c r="A91" s="3" t="s">
        <v>29</v>
      </c>
      <c r="B91" s="2">
        <v>-60</v>
      </c>
      <c r="C91" s="2">
        <v>-24</v>
      </c>
      <c r="D91" s="2">
        <v>-39</v>
      </c>
      <c r="E91" s="2">
        <v>-203</v>
      </c>
      <c r="F91" s="2">
        <v>-72</v>
      </c>
      <c r="G91" s="2">
        <v>-226</v>
      </c>
      <c r="H91" s="2">
        <v>-45</v>
      </c>
      <c r="I91" s="2">
        <v>-338</v>
      </c>
      <c r="J91" s="2">
        <v>-700</v>
      </c>
      <c r="K91" s="2">
        <v>-3</v>
      </c>
      <c r="L91" s="2">
        <v>139</v>
      </c>
      <c r="M91" s="2">
        <v>-183</v>
      </c>
    </row>
    <row r="92" spans="1:13" x14ac:dyDescent="0.3">
      <c r="A92" s="3" t="s">
        <v>85</v>
      </c>
      <c r="B92" s="2">
        <v>136</v>
      </c>
      <c r="C92" s="2">
        <v>15</v>
      </c>
      <c r="D92" s="2">
        <v>132</v>
      </c>
      <c r="E92" s="2">
        <v>92</v>
      </c>
      <c r="F92" s="2">
        <v>194</v>
      </c>
      <c r="G92" s="2">
        <v>46</v>
      </c>
      <c r="H92" s="2">
        <v>63</v>
      </c>
      <c r="I92" s="2">
        <v>433</v>
      </c>
      <c r="J92" s="2">
        <v>314</v>
      </c>
      <c r="K92" s="2">
        <v>-37</v>
      </c>
      <c r="L92" s="2">
        <v>-83</v>
      </c>
      <c r="M92" s="2">
        <v>4</v>
      </c>
    </row>
    <row r="93" spans="1:13" x14ac:dyDescent="0.3">
      <c r="A93" s="3" t="s">
        <v>86</v>
      </c>
      <c r="B93" s="2">
        <v>0</v>
      </c>
      <c r="C93" s="2">
        <v>53</v>
      </c>
      <c r="D93" s="2">
        <v>0</v>
      </c>
      <c r="E93" s="2">
        <v>2</v>
      </c>
      <c r="F93" s="2">
        <v>4</v>
      </c>
      <c r="G93" s="2">
        <v>-1</v>
      </c>
      <c r="H93" s="2">
        <v>-5</v>
      </c>
      <c r="I93" s="2">
        <v>-30</v>
      </c>
      <c r="J93" s="2">
        <v>-8</v>
      </c>
      <c r="K93" s="2">
        <v>-41</v>
      </c>
      <c r="L93" s="2">
        <v>15</v>
      </c>
      <c r="M93" s="2">
        <v>8</v>
      </c>
    </row>
    <row r="94" spans="1:13" x14ac:dyDescent="0.3">
      <c r="A94" s="3" t="s">
        <v>87</v>
      </c>
      <c r="B94" s="2">
        <v>0</v>
      </c>
      <c r="C94" s="2">
        <v>16</v>
      </c>
      <c r="D94" s="2">
        <v>65</v>
      </c>
      <c r="E94" s="2">
        <v>16</v>
      </c>
      <c r="F94" s="2">
        <v>-140</v>
      </c>
      <c r="G94" s="2">
        <v>69</v>
      </c>
      <c r="H94" s="2">
        <v>-71</v>
      </c>
      <c r="I94" s="2">
        <v>72</v>
      </c>
      <c r="J94" s="2">
        <v>-62</v>
      </c>
      <c r="K94" s="2">
        <v>35</v>
      </c>
      <c r="L94" s="2">
        <v>61</v>
      </c>
      <c r="M94" s="2">
        <v>33</v>
      </c>
    </row>
    <row r="95" spans="1:13" x14ac:dyDescent="0.3">
      <c r="A95" s="3" t="s">
        <v>88</v>
      </c>
      <c r="B95" s="2">
        <v>-26</v>
      </c>
      <c r="C95" s="2">
        <v>12</v>
      </c>
      <c r="D95" s="2">
        <v>114</v>
      </c>
      <c r="E95" s="2">
        <v>-128</v>
      </c>
      <c r="F95" s="2">
        <v>-128</v>
      </c>
      <c r="G95" s="2">
        <v>-92</v>
      </c>
      <c r="H95" s="2">
        <v>-100</v>
      </c>
      <c r="I95" s="2">
        <v>-168</v>
      </c>
      <c r="J95" s="2">
        <v>-490</v>
      </c>
      <c r="K95" s="2">
        <v>-259</v>
      </c>
      <c r="L95" s="2">
        <v>30</v>
      </c>
      <c r="M95" s="2">
        <v>-270</v>
      </c>
    </row>
    <row r="96" spans="1:13" x14ac:dyDescent="0.3">
      <c r="A96" s="3" t="s">
        <v>89</v>
      </c>
      <c r="B96" s="2">
        <v>-102</v>
      </c>
      <c r="C96" s="2">
        <v>-122</v>
      </c>
      <c r="D96" s="2">
        <v>-178</v>
      </c>
      <c r="E96" s="2">
        <v>-220</v>
      </c>
      <c r="F96" s="2">
        <v>-277</v>
      </c>
      <c r="G96" s="2">
        <v>-243</v>
      </c>
      <c r="H96" s="2">
        <v>-263</v>
      </c>
      <c r="I96" s="2">
        <v>-252</v>
      </c>
      <c r="J96" s="2">
        <v>-299</v>
      </c>
      <c r="K96" s="2">
        <v>-308</v>
      </c>
      <c r="L96" s="2">
        <v>-349</v>
      </c>
      <c r="M96" s="2">
        <v>-378</v>
      </c>
    </row>
    <row r="97" spans="1:13" x14ac:dyDescent="0.3">
      <c r="A97" s="1" t="s">
        <v>90</v>
      </c>
      <c r="B97" s="2">
        <v>-301</v>
      </c>
      <c r="C97" s="2">
        <v>-184</v>
      </c>
      <c r="D97" s="2">
        <v>-259</v>
      </c>
      <c r="E97" s="2">
        <v>-308</v>
      </c>
      <c r="F97" s="2">
        <v>-183</v>
      </c>
      <c r="G97" s="2">
        <v>-379</v>
      </c>
      <c r="H97" s="2">
        <v>-223</v>
      </c>
      <c r="I97" s="2">
        <v>-457</v>
      </c>
      <c r="J97" s="2">
        <v>-521</v>
      </c>
      <c r="K97" s="2">
        <v>-600</v>
      </c>
      <c r="L97" s="2">
        <v>-398</v>
      </c>
      <c r="M97" s="2">
        <v>-650</v>
      </c>
    </row>
    <row r="98" spans="1:13" x14ac:dyDescent="0.3">
      <c r="A98" s="3" t="s">
        <v>91</v>
      </c>
      <c r="B98" s="2">
        <v>-243</v>
      </c>
      <c r="C98" s="2">
        <v>-162</v>
      </c>
      <c r="D98" s="2">
        <v>-122</v>
      </c>
      <c r="E98" s="2">
        <v>-269</v>
      </c>
      <c r="F98" s="2">
        <v>-293</v>
      </c>
      <c r="G98" s="2">
        <v>-293</v>
      </c>
      <c r="H98" s="2">
        <v>-435</v>
      </c>
      <c r="I98" s="2">
        <v>-186</v>
      </c>
      <c r="J98" s="2">
        <v>-774</v>
      </c>
      <c r="K98" s="2">
        <v>-748</v>
      </c>
      <c r="L98" s="2">
        <v>-275</v>
      </c>
      <c r="M98" s="2">
        <v>-429</v>
      </c>
    </row>
    <row r="99" spans="1:13" x14ac:dyDescent="0.3">
      <c r="A99" s="3" t="s">
        <v>92</v>
      </c>
      <c r="B99" s="2">
        <v>1</v>
      </c>
      <c r="C99" s="2">
        <v>1</v>
      </c>
      <c r="D99" s="2">
        <v>4</v>
      </c>
      <c r="E99" s="2">
        <v>4</v>
      </c>
      <c r="F99" s="2">
        <v>3</v>
      </c>
      <c r="G99" s="2">
        <v>2</v>
      </c>
      <c r="H99" s="2">
        <v>4</v>
      </c>
      <c r="I99" s="2">
        <v>1</v>
      </c>
      <c r="J99" s="2">
        <v>14</v>
      </c>
      <c r="K99" s="2">
        <v>4</v>
      </c>
      <c r="L99" s="2">
        <v>4</v>
      </c>
      <c r="M99" s="2">
        <v>5</v>
      </c>
    </row>
    <row r="100" spans="1:13" x14ac:dyDescent="0.3">
      <c r="A100" s="3" t="s">
        <v>93</v>
      </c>
      <c r="B100" s="2">
        <v>-90</v>
      </c>
      <c r="C100" s="2">
        <v>-758</v>
      </c>
      <c r="D100" s="2">
        <v>-148</v>
      </c>
      <c r="E100" s="2">
        <v>-4094</v>
      </c>
      <c r="F100" s="2">
        <v>-1988</v>
      </c>
      <c r="G100" s="2">
        <v>-2130</v>
      </c>
      <c r="H100" s="2">
        <v>-3208</v>
      </c>
      <c r="I100" s="2">
        <v>-890</v>
      </c>
      <c r="J100" s="2">
        <v>-1063</v>
      </c>
      <c r="K100" s="2">
        <v>-751</v>
      </c>
      <c r="L100" s="2">
        <v>-1597</v>
      </c>
      <c r="M100" s="2">
        <v>-1811</v>
      </c>
    </row>
    <row r="101" spans="1:13" x14ac:dyDescent="0.3">
      <c r="A101" s="3" t="s">
        <v>94</v>
      </c>
      <c r="B101" s="2">
        <v>11</v>
      </c>
      <c r="C101" s="2">
        <v>720</v>
      </c>
      <c r="D101" s="2">
        <v>0</v>
      </c>
      <c r="E101" s="2">
        <v>4056</v>
      </c>
      <c r="F101" s="2">
        <v>2150</v>
      </c>
      <c r="G101" s="2">
        <v>2126</v>
      </c>
      <c r="H101" s="2">
        <v>3297</v>
      </c>
      <c r="I101" s="2">
        <v>869</v>
      </c>
      <c r="J101" s="2">
        <v>1193</v>
      </c>
      <c r="K101" s="2">
        <v>788</v>
      </c>
      <c r="L101" s="2">
        <v>1572</v>
      </c>
      <c r="M101" s="2">
        <v>1582</v>
      </c>
    </row>
    <row r="102" spans="1:13" x14ac:dyDescent="0.3">
      <c r="A102" s="3" t="s">
        <v>95</v>
      </c>
      <c r="B102" s="2">
        <v>21</v>
      </c>
      <c r="C102" s="2">
        <v>15</v>
      </c>
      <c r="D102" s="2">
        <v>12</v>
      </c>
      <c r="E102" s="2">
        <v>5</v>
      </c>
      <c r="F102" s="2">
        <v>6</v>
      </c>
      <c r="G102" s="2">
        <v>18</v>
      </c>
      <c r="H102" s="2">
        <v>17</v>
      </c>
      <c r="I102" s="2">
        <v>14</v>
      </c>
      <c r="J102" s="2">
        <v>23</v>
      </c>
      <c r="K102" s="2">
        <v>13</v>
      </c>
      <c r="L102" s="2">
        <v>16</v>
      </c>
      <c r="M102" s="2">
        <v>24</v>
      </c>
    </row>
    <row r="103" spans="1:13" x14ac:dyDescent="0.3">
      <c r="A103" s="3" t="s">
        <v>96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4</v>
      </c>
      <c r="J103" s="2">
        <v>3</v>
      </c>
      <c r="K103" s="2">
        <v>4</v>
      </c>
      <c r="L103" s="2">
        <v>2</v>
      </c>
      <c r="M103" s="2">
        <v>2</v>
      </c>
    </row>
    <row r="104" spans="1:13" x14ac:dyDescent="0.3">
      <c r="A104" s="3" t="s">
        <v>97</v>
      </c>
      <c r="B104" s="2">
        <v>-1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</row>
    <row r="105" spans="1:13" x14ac:dyDescent="0.3">
      <c r="A105" s="3" t="s">
        <v>98</v>
      </c>
      <c r="B105" s="2">
        <v>0</v>
      </c>
      <c r="C105" s="2">
        <v>0</v>
      </c>
      <c r="D105" s="2">
        <v>-6</v>
      </c>
      <c r="E105" s="2">
        <v>-57</v>
      </c>
      <c r="F105" s="2">
        <v>0</v>
      </c>
      <c r="G105" s="2">
        <v>0</v>
      </c>
      <c r="H105" s="2">
        <v>0</v>
      </c>
      <c r="I105" s="2">
        <v>-20</v>
      </c>
      <c r="J105" s="2">
        <v>0</v>
      </c>
      <c r="K105" s="2">
        <v>0</v>
      </c>
      <c r="L105" s="2">
        <v>0</v>
      </c>
      <c r="M105" s="2">
        <v>0</v>
      </c>
    </row>
    <row r="106" spans="1:13" x14ac:dyDescent="0.3">
      <c r="A106" s="3" t="s">
        <v>99</v>
      </c>
      <c r="B106" s="2">
        <v>0</v>
      </c>
      <c r="C106" s="2">
        <v>0</v>
      </c>
      <c r="D106" s="2">
        <v>0</v>
      </c>
      <c r="E106" s="2">
        <v>0</v>
      </c>
      <c r="F106" s="2">
        <v>2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</row>
    <row r="107" spans="1:13" x14ac:dyDescent="0.3">
      <c r="A107" s="3" t="s">
        <v>100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-41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-8</v>
      </c>
    </row>
    <row r="108" spans="1:13" x14ac:dyDescent="0.3">
      <c r="A108" s="3" t="s">
        <v>101</v>
      </c>
      <c r="B108" s="2">
        <v>0</v>
      </c>
      <c r="C108" s="2">
        <v>0</v>
      </c>
      <c r="D108" s="2">
        <v>0</v>
      </c>
      <c r="E108" s="2">
        <v>46</v>
      </c>
      <c r="F108" s="2">
        <v>-63</v>
      </c>
      <c r="G108" s="2">
        <v>-61</v>
      </c>
      <c r="H108" s="2">
        <v>102</v>
      </c>
      <c r="I108" s="2">
        <v>-250</v>
      </c>
      <c r="J108" s="2">
        <v>83</v>
      </c>
      <c r="K108" s="2">
        <v>90</v>
      </c>
      <c r="L108" s="2">
        <v>-120</v>
      </c>
      <c r="M108" s="2">
        <v>-16</v>
      </c>
    </row>
    <row r="109" spans="1:13" x14ac:dyDescent="0.3">
      <c r="A109" s="1" t="s">
        <v>102</v>
      </c>
      <c r="B109" s="2">
        <v>-52</v>
      </c>
      <c r="C109" s="2">
        <v>-198</v>
      </c>
      <c r="D109" s="2">
        <v>-368</v>
      </c>
      <c r="E109" s="2">
        <v>-82</v>
      </c>
      <c r="F109" s="2">
        <v>-200</v>
      </c>
      <c r="G109" s="2">
        <v>-259</v>
      </c>
      <c r="H109" s="2">
        <v>-479</v>
      </c>
      <c r="I109" s="2">
        <v>-282</v>
      </c>
      <c r="J109" s="2">
        <v>-78</v>
      </c>
      <c r="K109" s="2">
        <v>-363</v>
      </c>
      <c r="L109" s="2">
        <v>-1069</v>
      </c>
      <c r="M109" s="2">
        <v>-606</v>
      </c>
    </row>
    <row r="110" spans="1:13" x14ac:dyDescent="0.3">
      <c r="A110" s="3" t="s">
        <v>103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</row>
    <row r="111" spans="1:13" x14ac:dyDescent="0.3">
      <c r="A111" s="3" t="s">
        <v>104</v>
      </c>
      <c r="B111" s="2">
        <v>96</v>
      </c>
      <c r="C111" s="2">
        <v>10</v>
      </c>
      <c r="D111" s="2">
        <v>0</v>
      </c>
      <c r="E111" s="2">
        <v>1131</v>
      </c>
      <c r="F111" s="2">
        <v>2578</v>
      </c>
      <c r="G111" s="2">
        <v>3242</v>
      </c>
      <c r="H111" s="2">
        <v>3538</v>
      </c>
      <c r="I111" s="2">
        <v>1457</v>
      </c>
      <c r="J111" s="2">
        <v>3108</v>
      </c>
      <c r="K111" s="2">
        <v>8414</v>
      </c>
      <c r="L111" s="2">
        <v>6465</v>
      </c>
      <c r="M111" s="2">
        <v>673</v>
      </c>
    </row>
    <row r="112" spans="1:13" x14ac:dyDescent="0.3">
      <c r="A112" s="3" t="s">
        <v>105</v>
      </c>
      <c r="B112" s="2">
        <v>-43</v>
      </c>
      <c r="C112" s="2">
        <v>-24</v>
      </c>
      <c r="D112" s="2">
        <v>-232</v>
      </c>
      <c r="E112" s="2">
        <v>-1053</v>
      </c>
      <c r="F112" s="2">
        <v>-2659</v>
      </c>
      <c r="G112" s="2">
        <v>-3123</v>
      </c>
      <c r="H112" s="2">
        <v>-3437</v>
      </c>
      <c r="I112" s="2">
        <v>-1582</v>
      </c>
      <c r="J112" s="2">
        <v>-2822</v>
      </c>
      <c r="K112" s="2">
        <v>-8314</v>
      </c>
      <c r="L112" s="2">
        <v>-7027</v>
      </c>
      <c r="M112" s="2">
        <v>-732</v>
      </c>
    </row>
    <row r="113" spans="1:13" x14ac:dyDescent="0.3">
      <c r="A113" s="3" t="s">
        <v>106</v>
      </c>
      <c r="B113" s="2">
        <v>-42</v>
      </c>
      <c r="C113" s="2">
        <v>-45</v>
      </c>
      <c r="D113" s="2">
        <v>-27</v>
      </c>
      <c r="E113" s="2">
        <v>-16</v>
      </c>
      <c r="F113" s="2">
        <v>-25</v>
      </c>
      <c r="G113" s="2">
        <v>-30</v>
      </c>
      <c r="H113" s="2">
        <v>-31</v>
      </c>
      <c r="I113" s="2">
        <v>-25</v>
      </c>
      <c r="J113" s="2">
        <v>-23</v>
      </c>
      <c r="K113" s="2">
        <v>-61</v>
      </c>
      <c r="L113" s="2">
        <v>-72</v>
      </c>
      <c r="M113" s="2">
        <v>-52</v>
      </c>
    </row>
    <row r="114" spans="1:13" x14ac:dyDescent="0.3">
      <c r="A114" s="3" t="s">
        <v>107</v>
      </c>
      <c r="B114" s="2">
        <v>-62</v>
      </c>
      <c r="C114" s="2">
        <v>-138</v>
      </c>
      <c r="D114" s="2">
        <v>-108</v>
      </c>
      <c r="E114" s="2">
        <v>-117</v>
      </c>
      <c r="F114" s="2">
        <v>-205</v>
      </c>
      <c r="G114" s="2">
        <v>-211</v>
      </c>
      <c r="H114" s="2">
        <v>-382</v>
      </c>
      <c r="I114" s="2">
        <v>-29</v>
      </c>
      <c r="J114" s="2">
        <v>-272</v>
      </c>
      <c r="K114" s="2">
        <v>-301</v>
      </c>
      <c r="L114" s="2">
        <v>-311</v>
      </c>
      <c r="M114" s="2">
        <v>-408</v>
      </c>
    </row>
    <row r="115" spans="1:13" x14ac:dyDescent="0.3">
      <c r="A115" s="3" t="s">
        <v>108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-80</v>
      </c>
      <c r="H115" s="2">
        <v>-118</v>
      </c>
      <c r="I115" s="2">
        <v>-75</v>
      </c>
      <c r="J115" s="2">
        <v>-76</v>
      </c>
      <c r="K115" s="2">
        <v>-100</v>
      </c>
      <c r="L115" s="2">
        <v>-124</v>
      </c>
      <c r="M115" s="2">
        <v>-86</v>
      </c>
    </row>
    <row r="116" spans="1:13" x14ac:dyDescent="0.3">
      <c r="A116" s="3" t="s">
        <v>109</v>
      </c>
      <c r="B116" s="2">
        <v>0</v>
      </c>
      <c r="C116" s="2">
        <v>0</v>
      </c>
      <c r="D116" s="2">
        <v>0</v>
      </c>
      <c r="E116" s="2">
        <v>-27</v>
      </c>
      <c r="F116" s="2">
        <v>110</v>
      </c>
      <c r="G116" s="2">
        <v>-57</v>
      </c>
      <c r="H116" s="2">
        <v>-49</v>
      </c>
      <c r="I116" s="2">
        <v>-26</v>
      </c>
      <c r="J116" s="2">
        <v>6</v>
      </c>
      <c r="K116" s="2">
        <v>0</v>
      </c>
      <c r="L116" s="2">
        <v>0</v>
      </c>
      <c r="M116" s="2">
        <v>0</v>
      </c>
    </row>
    <row r="117" spans="1:13" x14ac:dyDescent="0.3">
      <c r="A117" s="3" t="s">
        <v>20</v>
      </c>
      <c r="B117" s="2">
        <v>-43</v>
      </c>
      <c r="C117" s="2">
        <v>32</v>
      </c>
      <c r="D117" s="2">
        <v>-32</v>
      </c>
      <c r="E117" s="2">
        <v>4</v>
      </c>
      <c r="F117" s="2">
        <v>38</v>
      </c>
      <c r="G117" s="2">
        <v>-27</v>
      </c>
      <c r="H117" s="2">
        <v>22</v>
      </c>
      <c r="I117" s="2">
        <v>57</v>
      </c>
      <c r="J117" s="2">
        <v>-33</v>
      </c>
      <c r="K117" s="2">
        <v>13</v>
      </c>
      <c r="L117" s="2">
        <v>124</v>
      </c>
      <c r="M117" s="2">
        <v>14</v>
      </c>
    </row>
    <row r="118" spans="1:13" x14ac:dyDescent="0.3">
      <c r="A118" s="3"/>
    </row>
    <row r="119" spans="1:13" x14ac:dyDescent="0.3">
      <c r="A119" s="3"/>
    </row>
    <row r="120" spans="1:13" x14ac:dyDescent="0.3">
      <c r="A120" s="3"/>
    </row>
    <row r="121" spans="1:13" s="1" customFormat="1" x14ac:dyDescent="0.3">
      <c r="A121" s="1" t="s">
        <v>41</v>
      </c>
      <c r="B121">
        <v>145.71</v>
      </c>
      <c r="C121">
        <v>201.75</v>
      </c>
      <c r="D121">
        <v>213.92</v>
      </c>
      <c r="E121">
        <v>269.79000000000002</v>
      </c>
      <c r="F121">
        <v>414.96</v>
      </c>
      <c r="G121">
        <v>637.5</v>
      </c>
      <c r="H121">
        <v>583.08000000000004</v>
      </c>
      <c r="I121">
        <v>484.75</v>
      </c>
      <c r="J121">
        <v>573.04999999999995</v>
      </c>
      <c r="K121">
        <v>500.2</v>
      </c>
    </row>
    <row r="123" spans="1:13" s="1" customFormat="1" x14ac:dyDescent="0.3">
      <c r="A123" s="1" t="s">
        <v>40</v>
      </c>
    </row>
    <row r="124" spans="1:13" x14ac:dyDescent="0.3">
      <c r="A124" s="2" t="s">
        <v>53</v>
      </c>
      <c r="B124" s="7">
        <v>116.51</v>
      </c>
      <c r="C124" s="7">
        <v>116.52</v>
      </c>
      <c r="D124" s="7">
        <v>116.52</v>
      </c>
      <c r="E124" s="7">
        <v>116.54</v>
      </c>
      <c r="F124" s="7">
        <v>116.55</v>
      </c>
      <c r="G124" s="7">
        <v>116.56</v>
      </c>
      <c r="H124" s="7">
        <v>116.56</v>
      </c>
      <c r="I124" s="7">
        <v>116.57</v>
      </c>
      <c r="J124" s="7">
        <v>116.58</v>
      </c>
      <c r="K124" s="7">
        <v>116.59</v>
      </c>
    </row>
    <row r="127" spans="1:13" x14ac:dyDescent="0.3">
      <c r="A127" s="1" t="s">
        <v>77</v>
      </c>
    </row>
    <row r="129" spans="1:13" x14ac:dyDescent="0.3">
      <c r="B129" s="50">
        <v>41699</v>
      </c>
      <c r="C129" s="50">
        <v>42064</v>
      </c>
      <c r="D129" s="50">
        <v>42430</v>
      </c>
      <c r="E129" s="50">
        <v>42795</v>
      </c>
      <c r="F129" s="50">
        <v>43160</v>
      </c>
      <c r="G129" s="50">
        <v>43525</v>
      </c>
      <c r="H129" s="50">
        <v>43891</v>
      </c>
      <c r="I129" s="50">
        <v>44256</v>
      </c>
      <c r="J129" s="50">
        <v>44621</v>
      </c>
      <c r="K129" s="50">
        <v>44986</v>
      </c>
      <c r="L129" s="50">
        <v>45352</v>
      </c>
      <c r="M129" s="50">
        <v>45717</v>
      </c>
    </row>
    <row r="130" spans="1:13" x14ac:dyDescent="0.3">
      <c r="A130" s="2" t="s">
        <v>250</v>
      </c>
      <c r="B130" s="2">
        <v>69</v>
      </c>
      <c r="C130" s="2">
        <v>69</v>
      </c>
      <c r="D130" s="2">
        <v>69</v>
      </c>
      <c r="E130" s="2">
        <v>97</v>
      </c>
      <c r="F130" s="2">
        <v>97</v>
      </c>
      <c r="G130" s="2">
        <v>97</v>
      </c>
      <c r="H130" s="2">
        <v>97</v>
      </c>
      <c r="I130" s="2">
        <v>97</v>
      </c>
      <c r="J130" s="2">
        <v>97</v>
      </c>
      <c r="K130" s="2">
        <v>97</v>
      </c>
      <c r="L130" s="2">
        <v>117</v>
      </c>
      <c r="M130" s="2">
        <v>117</v>
      </c>
    </row>
    <row r="131" spans="1:13" x14ac:dyDescent="0.3">
      <c r="A131" s="2" t="s">
        <v>11</v>
      </c>
      <c r="B131" s="2">
        <v>1051</v>
      </c>
      <c r="C131" s="2">
        <v>1191</v>
      </c>
      <c r="D131" s="2">
        <v>1493</v>
      </c>
      <c r="E131" s="2">
        <v>1804</v>
      </c>
      <c r="F131" s="2">
        <v>2097</v>
      </c>
      <c r="G131" s="2">
        <v>2347</v>
      </c>
      <c r="H131" s="2">
        <v>2563</v>
      </c>
      <c r="I131" s="2">
        <v>3280</v>
      </c>
      <c r="J131" s="2">
        <v>3830</v>
      </c>
      <c r="K131" s="2">
        <v>4397</v>
      </c>
      <c r="L131" s="2">
        <v>5262</v>
      </c>
      <c r="M131" s="2">
        <v>6038</v>
      </c>
    </row>
    <row r="132" spans="1:13" x14ac:dyDescent="0.3">
      <c r="A132" s="2" t="s">
        <v>251</v>
      </c>
      <c r="B132" s="2">
        <v>624</v>
      </c>
      <c r="C132" s="2">
        <v>610</v>
      </c>
      <c r="D132" s="2">
        <v>354</v>
      </c>
      <c r="E132" s="2">
        <v>406</v>
      </c>
      <c r="F132" s="2">
        <v>422</v>
      </c>
      <c r="G132" s="2">
        <v>753</v>
      </c>
      <c r="H132" s="2">
        <v>767</v>
      </c>
      <c r="I132" s="2">
        <v>634</v>
      </c>
      <c r="J132" s="2">
        <v>1014</v>
      </c>
      <c r="K132" s="2">
        <v>1189</v>
      </c>
      <c r="L132" s="2">
        <v>753</v>
      </c>
      <c r="M132" s="2">
        <v>670</v>
      </c>
    </row>
    <row r="133" spans="1:13" x14ac:dyDescent="0.3">
      <c r="A133" s="2" t="s">
        <v>273</v>
      </c>
      <c r="B133" s="2">
        <v>851</v>
      </c>
      <c r="C133" s="2">
        <v>846</v>
      </c>
      <c r="D133" s="2">
        <v>960</v>
      </c>
      <c r="E133" s="2">
        <v>1132</v>
      </c>
      <c r="F133" s="2">
        <v>1326</v>
      </c>
      <c r="G133" s="2">
        <v>1360</v>
      </c>
      <c r="H133" s="2">
        <v>1472</v>
      </c>
      <c r="I133" s="2">
        <v>1907</v>
      </c>
      <c r="J133" s="2">
        <v>2271</v>
      </c>
      <c r="K133" s="2">
        <v>2283</v>
      </c>
      <c r="L133" s="2">
        <v>2236</v>
      </c>
      <c r="M133" s="2">
        <v>2300</v>
      </c>
    </row>
    <row r="134" spans="1:13" x14ac:dyDescent="0.3">
      <c r="A134" s="2" t="s">
        <v>274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3</v>
      </c>
      <c r="H134" s="2">
        <v>7</v>
      </c>
      <c r="I134" s="2">
        <v>7</v>
      </c>
      <c r="J134" s="2">
        <v>7</v>
      </c>
      <c r="K134" s="2">
        <v>8</v>
      </c>
      <c r="L134" s="2">
        <v>10</v>
      </c>
      <c r="M134" s="2">
        <v>13</v>
      </c>
    </row>
    <row r="135" spans="1:13" x14ac:dyDescent="0.3">
      <c r="A135" s="2" t="s">
        <v>275</v>
      </c>
      <c r="B135" s="2">
        <v>544</v>
      </c>
      <c r="C135" s="2">
        <v>560</v>
      </c>
      <c r="D135" s="2">
        <v>670</v>
      </c>
      <c r="E135" s="2">
        <v>761</v>
      </c>
      <c r="F135" s="2">
        <v>955</v>
      </c>
      <c r="G135" s="2">
        <v>999</v>
      </c>
      <c r="H135" s="2">
        <v>1066</v>
      </c>
      <c r="I135" s="2">
        <v>1497</v>
      </c>
      <c r="J135" s="2">
        <v>1803</v>
      </c>
      <c r="K135" s="2">
        <v>1766</v>
      </c>
      <c r="L135" s="2">
        <v>1679</v>
      </c>
      <c r="M135" s="2">
        <v>1740</v>
      </c>
    </row>
    <row r="136" spans="1:13" x14ac:dyDescent="0.3">
      <c r="A136" s="2" t="s">
        <v>276</v>
      </c>
      <c r="B136" s="2">
        <v>9</v>
      </c>
      <c r="C136" s="2">
        <v>10</v>
      </c>
      <c r="D136" s="2">
        <v>11</v>
      </c>
      <c r="E136" s="2">
        <v>13</v>
      </c>
      <c r="F136" s="2">
        <v>19</v>
      </c>
      <c r="G136" s="2">
        <v>19</v>
      </c>
      <c r="H136" s="2">
        <v>17</v>
      </c>
      <c r="I136" s="2">
        <v>25</v>
      </c>
      <c r="J136" s="2">
        <v>24</v>
      </c>
      <c r="K136" s="2">
        <v>25</v>
      </c>
      <c r="L136" s="2">
        <v>29</v>
      </c>
      <c r="M136" s="2">
        <v>30</v>
      </c>
    </row>
    <row r="137" spans="1:13" x14ac:dyDescent="0.3">
      <c r="A137" s="2" t="s">
        <v>277</v>
      </c>
      <c r="B137" s="2">
        <v>298</v>
      </c>
      <c r="C137" s="2">
        <v>276</v>
      </c>
      <c r="D137" s="2">
        <v>280</v>
      </c>
      <c r="E137" s="2">
        <v>358</v>
      </c>
      <c r="F137" s="2">
        <v>351</v>
      </c>
      <c r="G137" s="2">
        <v>338</v>
      </c>
      <c r="H137" s="2">
        <v>383</v>
      </c>
      <c r="I137" s="2">
        <v>378</v>
      </c>
      <c r="J137" s="2">
        <v>437</v>
      </c>
      <c r="K137" s="2">
        <v>485</v>
      </c>
      <c r="L137" s="2">
        <v>517</v>
      </c>
      <c r="M137" s="2">
        <v>518</v>
      </c>
    </row>
    <row r="138" spans="1:13" s="1" customFormat="1" x14ac:dyDescent="0.3">
      <c r="A138" s="1" t="s">
        <v>78</v>
      </c>
      <c r="B138" s="1">
        <v>2595</v>
      </c>
      <c r="C138" s="1">
        <v>2716</v>
      </c>
      <c r="D138" s="1">
        <v>2877</v>
      </c>
      <c r="E138" s="1">
        <v>3440</v>
      </c>
      <c r="F138" s="1">
        <v>3943</v>
      </c>
      <c r="G138" s="1">
        <v>4557</v>
      </c>
      <c r="H138" s="1">
        <v>4900</v>
      </c>
      <c r="I138" s="1">
        <v>5918</v>
      </c>
      <c r="J138" s="1">
        <v>7211</v>
      </c>
      <c r="K138" s="1">
        <v>7966</v>
      </c>
      <c r="L138" s="1">
        <v>8368</v>
      </c>
      <c r="M138" s="1">
        <v>9125</v>
      </c>
    </row>
    <row r="139" spans="1:13" x14ac:dyDescent="0.3">
      <c r="A139" s="1" t="s">
        <v>252</v>
      </c>
    </row>
    <row r="140" spans="1:13" x14ac:dyDescent="0.3">
      <c r="A140" s="2" t="s">
        <v>253</v>
      </c>
      <c r="B140" s="2">
        <v>21</v>
      </c>
      <c r="C140" s="2">
        <v>23</v>
      </c>
      <c r="D140" s="2">
        <v>20</v>
      </c>
      <c r="E140" s="2">
        <v>21</v>
      </c>
      <c r="F140" s="2">
        <v>22</v>
      </c>
      <c r="G140" s="2">
        <v>61</v>
      </c>
      <c r="H140" s="2">
        <v>159</v>
      </c>
      <c r="I140" s="2">
        <v>170</v>
      </c>
      <c r="J140" s="2">
        <v>169</v>
      </c>
      <c r="K140" s="2">
        <v>183</v>
      </c>
      <c r="L140" s="2">
        <v>243</v>
      </c>
      <c r="M140" s="2">
        <v>247</v>
      </c>
    </row>
    <row r="141" spans="1:13" x14ac:dyDescent="0.3">
      <c r="A141" s="2" t="s">
        <v>254</v>
      </c>
      <c r="B141" s="2">
        <v>289</v>
      </c>
      <c r="C141" s="2">
        <v>344</v>
      </c>
      <c r="D141" s="2">
        <v>325</v>
      </c>
      <c r="E141" s="2">
        <v>405</v>
      </c>
      <c r="F141" s="2">
        <v>426</v>
      </c>
      <c r="G141" s="2">
        <v>656</v>
      </c>
      <c r="H141" s="2">
        <v>832</v>
      </c>
      <c r="I141" s="2">
        <v>884</v>
      </c>
      <c r="J141" s="2">
        <v>1009</v>
      </c>
      <c r="K141" s="2">
        <v>1626</v>
      </c>
      <c r="L141" s="2">
        <v>1769</v>
      </c>
      <c r="M141" s="2">
        <v>1875</v>
      </c>
    </row>
    <row r="142" spans="1:13" x14ac:dyDescent="0.3">
      <c r="A142" s="2" t="s">
        <v>255</v>
      </c>
      <c r="B142" s="2">
        <v>610</v>
      </c>
      <c r="C142" s="2">
        <v>709</v>
      </c>
      <c r="D142" s="2">
        <v>436</v>
      </c>
      <c r="E142" s="2">
        <v>607</v>
      </c>
      <c r="F142" s="2">
        <v>729</v>
      </c>
      <c r="G142" s="2">
        <v>835</v>
      </c>
      <c r="H142" s="2">
        <v>1011</v>
      </c>
      <c r="I142" s="2">
        <v>1206</v>
      </c>
      <c r="J142" s="2">
        <v>1306</v>
      </c>
      <c r="K142" s="2">
        <v>2023</v>
      </c>
      <c r="L142" s="2">
        <v>2181</v>
      </c>
      <c r="M142" s="2">
        <v>2419</v>
      </c>
    </row>
    <row r="143" spans="1:13" x14ac:dyDescent="0.3">
      <c r="A143" s="2" t="s">
        <v>256</v>
      </c>
      <c r="B143" s="2">
        <v>74</v>
      </c>
      <c r="C143" s="2">
        <v>9</v>
      </c>
      <c r="D143" s="2">
        <v>7</v>
      </c>
      <c r="E143" s="2">
        <v>9</v>
      </c>
      <c r="F143" s="2">
        <v>11</v>
      </c>
      <c r="G143" s="2">
        <v>15</v>
      </c>
      <c r="H143" s="2">
        <v>19</v>
      </c>
      <c r="I143" s="2">
        <v>23</v>
      </c>
      <c r="J143" s="2">
        <v>27</v>
      </c>
      <c r="K143" s="2">
        <v>37</v>
      </c>
      <c r="L143" s="2">
        <v>44</v>
      </c>
      <c r="M143" s="2">
        <v>52</v>
      </c>
    </row>
    <row r="144" spans="1:13" x14ac:dyDescent="0.3">
      <c r="A144" s="2" t="s">
        <v>257</v>
      </c>
      <c r="B144" s="2">
        <v>0</v>
      </c>
      <c r="C144" s="2">
        <v>69</v>
      </c>
      <c r="D144" s="2">
        <v>25</v>
      </c>
      <c r="E144" s="2">
        <v>36</v>
      </c>
      <c r="F144" s="2">
        <v>47</v>
      </c>
      <c r="G144" s="2">
        <v>49</v>
      </c>
      <c r="H144" s="2">
        <v>56</v>
      </c>
      <c r="I144" s="2">
        <v>58</v>
      </c>
      <c r="J144" s="2">
        <v>54</v>
      </c>
      <c r="K144" s="2">
        <v>61</v>
      </c>
      <c r="L144" s="2">
        <v>66</v>
      </c>
      <c r="M144" s="2">
        <v>56</v>
      </c>
    </row>
    <row r="145" spans="1:13" x14ac:dyDescent="0.3">
      <c r="A145" s="2" t="s">
        <v>258</v>
      </c>
      <c r="B145" s="2">
        <v>33</v>
      </c>
      <c r="C145" s="2">
        <v>36</v>
      </c>
      <c r="D145" s="2">
        <v>22</v>
      </c>
      <c r="E145" s="2">
        <v>26</v>
      </c>
      <c r="F145" s="2">
        <v>37</v>
      </c>
      <c r="G145" s="2">
        <v>40</v>
      </c>
      <c r="H145" s="2">
        <v>44</v>
      </c>
      <c r="I145" s="2">
        <v>47</v>
      </c>
      <c r="J145" s="2">
        <v>49</v>
      </c>
      <c r="K145" s="2">
        <v>55</v>
      </c>
      <c r="L145" s="2">
        <v>64</v>
      </c>
      <c r="M145" s="2">
        <v>73</v>
      </c>
    </row>
    <row r="146" spans="1:13" x14ac:dyDescent="0.3">
      <c r="A146" s="2" t="s">
        <v>259</v>
      </c>
      <c r="B146" s="2">
        <v>24</v>
      </c>
      <c r="C146" s="2">
        <v>25</v>
      </c>
      <c r="D146" s="2">
        <v>13</v>
      </c>
      <c r="E146" s="2">
        <v>14</v>
      </c>
      <c r="F146" s="2">
        <v>19</v>
      </c>
      <c r="G146" s="2">
        <v>24</v>
      </c>
      <c r="H146" s="2">
        <v>27</v>
      </c>
      <c r="I146" s="2">
        <v>23</v>
      </c>
      <c r="J146" s="2">
        <v>20</v>
      </c>
      <c r="K146" s="2">
        <v>20</v>
      </c>
      <c r="L146" s="2">
        <v>22</v>
      </c>
      <c r="M146" s="2">
        <v>23</v>
      </c>
    </row>
    <row r="147" spans="1:13" x14ac:dyDescent="0.3">
      <c r="A147" s="2" t="s">
        <v>260</v>
      </c>
      <c r="B147" s="2">
        <v>224</v>
      </c>
      <c r="C147" s="2">
        <v>198</v>
      </c>
      <c r="D147" s="2">
        <v>186</v>
      </c>
      <c r="E147" s="2">
        <v>179</v>
      </c>
      <c r="F147" s="2">
        <v>265</v>
      </c>
      <c r="G147" s="2">
        <v>269</v>
      </c>
      <c r="H147" s="2">
        <v>279</v>
      </c>
      <c r="I147" s="2">
        <v>288</v>
      </c>
      <c r="J147" s="2">
        <v>276</v>
      </c>
      <c r="K147" s="2">
        <v>282</v>
      </c>
      <c r="L147" s="2">
        <v>305</v>
      </c>
      <c r="M147" s="2">
        <v>336</v>
      </c>
    </row>
    <row r="148" spans="1:13" x14ac:dyDescent="0.3">
      <c r="A148" s="2" t="s">
        <v>261</v>
      </c>
      <c r="B148" s="2">
        <v>47</v>
      </c>
      <c r="C148" s="2">
        <v>48</v>
      </c>
      <c r="D148" s="2">
        <v>14</v>
      </c>
      <c r="E148" s="2">
        <v>12</v>
      </c>
      <c r="F148" s="2">
        <v>16</v>
      </c>
      <c r="G148" s="2">
        <v>23</v>
      </c>
      <c r="H148" s="2">
        <v>25</v>
      </c>
      <c r="I148" s="2">
        <v>34</v>
      </c>
      <c r="J148" s="2">
        <v>43</v>
      </c>
      <c r="K148" s="2">
        <v>36</v>
      </c>
      <c r="L148" s="2">
        <v>44</v>
      </c>
      <c r="M148" s="2">
        <v>40</v>
      </c>
    </row>
    <row r="149" spans="1:13" x14ac:dyDescent="0.3">
      <c r="A149" s="1" t="s">
        <v>262</v>
      </c>
      <c r="B149" s="2">
        <v>1322</v>
      </c>
      <c r="C149" s="2">
        <v>1461</v>
      </c>
      <c r="D149" s="2">
        <v>1048</v>
      </c>
      <c r="E149" s="2">
        <v>1310</v>
      </c>
      <c r="F149" s="2">
        <v>1571</v>
      </c>
      <c r="G149" s="2">
        <v>1971</v>
      </c>
      <c r="H149" s="2">
        <v>2452</v>
      </c>
      <c r="I149" s="2">
        <v>2734</v>
      </c>
      <c r="J149" s="2">
        <v>2955</v>
      </c>
      <c r="K149" s="2">
        <v>4324</v>
      </c>
      <c r="L149" s="2">
        <v>4736</v>
      </c>
      <c r="M149" s="2">
        <v>5121</v>
      </c>
    </row>
    <row r="150" spans="1:13" x14ac:dyDescent="0.3">
      <c r="A150" s="2" t="s">
        <v>263</v>
      </c>
      <c r="B150" s="2">
        <v>458</v>
      </c>
      <c r="C150" s="2">
        <v>531</v>
      </c>
      <c r="D150" s="2">
        <v>85</v>
      </c>
      <c r="E150" s="2">
        <v>174</v>
      </c>
      <c r="F150" s="2">
        <v>304</v>
      </c>
      <c r="G150" s="2">
        <v>388</v>
      </c>
      <c r="H150" s="2">
        <v>536</v>
      </c>
      <c r="I150" s="2">
        <v>690</v>
      </c>
      <c r="J150" s="2">
        <v>768</v>
      </c>
      <c r="K150" s="2">
        <v>992</v>
      </c>
      <c r="L150" s="2">
        <v>1236</v>
      </c>
      <c r="M150" s="2">
        <v>1444</v>
      </c>
    </row>
    <row r="151" spans="1:13" x14ac:dyDescent="0.3">
      <c r="A151" s="2" t="s">
        <v>264</v>
      </c>
      <c r="B151" s="2">
        <v>133</v>
      </c>
      <c r="C151" s="2">
        <v>100</v>
      </c>
      <c r="D151" s="2">
        <v>51</v>
      </c>
      <c r="E151" s="2">
        <v>62</v>
      </c>
      <c r="F151" s="2">
        <v>97</v>
      </c>
      <c r="G151" s="2">
        <v>170</v>
      </c>
      <c r="H151" s="2">
        <v>178</v>
      </c>
      <c r="I151" s="2">
        <v>107</v>
      </c>
      <c r="J151" s="2">
        <v>606</v>
      </c>
      <c r="K151" s="2">
        <v>111</v>
      </c>
      <c r="L151" s="2">
        <v>189</v>
      </c>
      <c r="M151" s="2">
        <v>125</v>
      </c>
    </row>
    <row r="152" spans="1:13" x14ac:dyDescent="0.3">
      <c r="A152" s="2" t="s">
        <v>15</v>
      </c>
      <c r="B152" s="2">
        <v>91</v>
      </c>
      <c r="C152" s="2">
        <v>134</v>
      </c>
      <c r="D152" s="2">
        <v>348</v>
      </c>
      <c r="E152" s="2">
        <v>472</v>
      </c>
      <c r="F152" s="2">
        <v>333</v>
      </c>
      <c r="G152" s="2">
        <v>395</v>
      </c>
      <c r="H152" s="2">
        <v>315</v>
      </c>
      <c r="I152" s="2">
        <v>356</v>
      </c>
      <c r="J152" s="2">
        <v>234</v>
      </c>
      <c r="K152" s="2">
        <v>183</v>
      </c>
      <c r="L152" s="2">
        <v>255</v>
      </c>
      <c r="M152" s="2">
        <v>533</v>
      </c>
    </row>
    <row r="153" spans="1:13" x14ac:dyDescent="0.3">
      <c r="A153" s="2" t="s">
        <v>266</v>
      </c>
      <c r="B153" s="2">
        <v>696</v>
      </c>
      <c r="C153" s="2">
        <v>719</v>
      </c>
      <c r="D153" s="2">
        <v>733</v>
      </c>
      <c r="E153" s="2">
        <v>935</v>
      </c>
      <c r="F153" s="2">
        <v>1007</v>
      </c>
      <c r="G153" s="2">
        <v>1234</v>
      </c>
      <c r="H153" s="2">
        <v>1278</v>
      </c>
      <c r="I153" s="2">
        <v>1616</v>
      </c>
      <c r="J153" s="2">
        <v>2316</v>
      </c>
      <c r="K153" s="2">
        <v>2319</v>
      </c>
      <c r="L153" s="2">
        <v>2180</v>
      </c>
      <c r="M153" s="2">
        <v>2366</v>
      </c>
    </row>
    <row r="154" spans="1:13" x14ac:dyDescent="0.3">
      <c r="A154" s="2" t="s">
        <v>267</v>
      </c>
      <c r="B154" s="2">
        <v>486</v>
      </c>
      <c r="C154" s="2">
        <v>535</v>
      </c>
      <c r="D154" s="2">
        <v>545</v>
      </c>
      <c r="E154" s="2">
        <v>578</v>
      </c>
      <c r="F154" s="2">
        <v>692</v>
      </c>
      <c r="G154" s="2">
        <v>671</v>
      </c>
      <c r="H154" s="2">
        <v>714</v>
      </c>
      <c r="I154" s="2">
        <v>1020</v>
      </c>
      <c r="J154" s="2">
        <v>1054</v>
      </c>
      <c r="K154" s="2">
        <v>1243</v>
      </c>
      <c r="L154" s="2">
        <v>1302</v>
      </c>
      <c r="M154" s="2">
        <v>1536</v>
      </c>
    </row>
    <row r="155" spans="1:13" x14ac:dyDescent="0.3">
      <c r="A155" s="2" t="s">
        <v>268</v>
      </c>
      <c r="B155" s="2">
        <v>184</v>
      </c>
      <c r="C155" s="2">
        <v>170</v>
      </c>
      <c r="D155" s="2">
        <v>105</v>
      </c>
      <c r="E155" s="2">
        <v>102</v>
      </c>
      <c r="F155" s="2">
        <v>205</v>
      </c>
      <c r="G155" s="2">
        <v>238</v>
      </c>
      <c r="H155" s="2">
        <v>220</v>
      </c>
      <c r="I155" s="2">
        <v>440</v>
      </c>
      <c r="J155" s="2">
        <v>313</v>
      </c>
      <c r="K155" s="2">
        <v>245</v>
      </c>
      <c r="L155" s="2">
        <v>451</v>
      </c>
      <c r="M155" s="2">
        <v>500</v>
      </c>
    </row>
    <row r="156" spans="1:13" x14ac:dyDescent="0.3">
      <c r="A156" s="2" t="s">
        <v>269</v>
      </c>
      <c r="B156" s="2">
        <v>0</v>
      </c>
      <c r="C156" s="2">
        <v>0</v>
      </c>
      <c r="D156" s="2">
        <v>8</v>
      </c>
      <c r="E156" s="2">
        <v>11</v>
      </c>
      <c r="F156" s="2">
        <v>9</v>
      </c>
      <c r="G156" s="2">
        <v>11</v>
      </c>
      <c r="H156" s="2">
        <v>12</v>
      </c>
      <c r="I156" s="2">
        <v>13</v>
      </c>
      <c r="J156" s="2">
        <v>12</v>
      </c>
      <c r="K156" s="2">
        <v>26</v>
      </c>
      <c r="L156" s="2">
        <v>26</v>
      </c>
      <c r="M156" s="2">
        <v>25</v>
      </c>
    </row>
    <row r="157" spans="1:13" x14ac:dyDescent="0.3">
      <c r="A157" s="2" t="s">
        <v>270</v>
      </c>
      <c r="B157" s="2">
        <v>142</v>
      </c>
      <c r="C157" s="2">
        <v>126</v>
      </c>
      <c r="D157" s="2">
        <v>123</v>
      </c>
      <c r="E157" s="2">
        <v>142</v>
      </c>
      <c r="F157" s="2">
        <v>331</v>
      </c>
      <c r="G157" s="2">
        <v>255</v>
      </c>
      <c r="H157" s="2">
        <v>266</v>
      </c>
      <c r="I157" s="2">
        <v>323</v>
      </c>
      <c r="J157" s="2">
        <v>490</v>
      </c>
      <c r="K157" s="2">
        <v>509</v>
      </c>
      <c r="L157" s="2">
        <v>465</v>
      </c>
      <c r="M157" s="2">
        <v>363</v>
      </c>
    </row>
    <row r="158" spans="1:13" x14ac:dyDescent="0.3">
      <c r="A158" s="2" t="s">
        <v>81</v>
      </c>
      <c r="B158" s="2">
        <v>2595</v>
      </c>
      <c r="C158" s="2">
        <v>2716</v>
      </c>
      <c r="D158" s="2">
        <v>2877</v>
      </c>
      <c r="E158" s="2">
        <v>3440</v>
      </c>
      <c r="F158" s="2">
        <v>3943</v>
      </c>
      <c r="G158" s="2">
        <v>4557</v>
      </c>
      <c r="H158" s="2">
        <v>4900</v>
      </c>
      <c r="I158" s="2">
        <v>5918</v>
      </c>
      <c r="J158" s="2">
        <v>7211</v>
      </c>
      <c r="K158" s="2">
        <v>7966</v>
      </c>
      <c r="L158" s="2">
        <v>8368</v>
      </c>
      <c r="M158" s="2">
        <v>9125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A57DF6-F0E4-48EF-BA1C-DFCD0D1301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Income Statement</vt:lpstr>
      <vt:lpstr>Balance Sheet</vt:lpstr>
      <vt:lpstr>Cash Flow Statement</vt:lpstr>
      <vt:lpstr>Ratio Analysis</vt:lpstr>
      <vt:lpstr>Forecasting</vt:lpstr>
      <vt:lpstr>WACC</vt:lpstr>
      <vt:lpstr>Beta Calculation</vt:lpstr>
      <vt:lpstr>Market Returns</vt:lpstr>
      <vt:lpstr>Peer Companies</vt:lpstr>
      <vt:lpstr>Intrinsic Growth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Chirag Sharma</cp:lastModifiedBy>
  <cp:lastPrinted>2025-10-14T06:50:16Z</cp:lastPrinted>
  <dcterms:created xsi:type="dcterms:W3CDTF">2012-08-17T09:55:37Z</dcterms:created>
  <dcterms:modified xsi:type="dcterms:W3CDTF">2025-10-18T07:13:30Z</dcterms:modified>
</cp:coreProperties>
</file>