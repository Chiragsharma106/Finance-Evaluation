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ra\Documents\All Files\Finance Modelling\3 Model\TATA MOTERS\"/>
    </mc:Choice>
  </mc:AlternateContent>
  <xr:revisionPtr revIDLastSave="0" documentId="13_ncr:1_{73B50B25-2627-4EDA-A67D-AFC9D152DB16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Financials&gt;" sheetId="7" r:id="rId1"/>
    <sheet name="Ratio Analysis" sheetId="9" r:id="rId2"/>
    <sheet name="Forecasting" sheetId="12" r:id="rId3"/>
    <sheet name="WACC" sheetId="13" r:id="rId4"/>
    <sheet name="Beta" sheetId="15" r:id="rId5"/>
    <sheet name="Intrinsic Growth" sheetId="26" r:id="rId6"/>
    <sheet name="Common Size Statement" sheetId="24" r:id="rId7"/>
    <sheet name="DCF" sheetId="27" r:id="rId8"/>
    <sheet name="Retailing Companies" sheetId="21" r:id="rId9"/>
    <sheet name="Market Return" sheetId="23" r:id="rId10"/>
    <sheet name="Cash Flow Data" sheetId="8" r:id="rId11"/>
    <sheet name="Data Sheet" sheetId="6" r:id="rId12"/>
    <sheet name="Asian Paints Data" sheetId="25" r:id="rId13"/>
  </sheets>
  <definedNames>
    <definedName name="_xlnm._FilterDatabase" localSheetId="4" hidden="1">Beta!$AL$10:$AN$93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8" i="13" l="1"/>
  <c r="M29" i="13"/>
  <c r="E35" i="13"/>
  <c r="AW11" i="15"/>
  <c r="AS17" i="15" l="1"/>
  <c r="AS14" i="15"/>
  <c r="P14" i="15"/>
  <c r="P12" i="15"/>
  <c r="P11" i="15"/>
  <c r="D40" i="27"/>
  <c r="D39" i="27"/>
  <c r="D37" i="27"/>
  <c r="D34" i="27"/>
  <c r="D33" i="27"/>
  <c r="D32" i="27"/>
  <c r="D30" i="27"/>
  <c r="D28" i="27"/>
  <c r="D29" i="27"/>
  <c r="D19" i="27"/>
  <c r="D23" i="27" s="1"/>
  <c r="D21" i="27"/>
  <c r="D20" i="27"/>
  <c r="E13" i="27"/>
  <c r="F13" i="27"/>
  <c r="G13" i="27"/>
  <c r="H13" i="27"/>
  <c r="I13" i="27"/>
  <c r="F11" i="27"/>
  <c r="G11" i="27"/>
  <c r="H11" i="27"/>
  <c r="I11" i="27"/>
  <c r="E11" i="27"/>
  <c r="G10" i="27"/>
  <c r="H10" i="27" s="1"/>
  <c r="I10" i="27" s="1"/>
  <c r="F10" i="27"/>
  <c r="D17" i="27"/>
  <c r="D8" i="27" l="1"/>
  <c r="E8" i="27" s="1"/>
  <c r="F8" i="27" s="1"/>
  <c r="G8" i="27" s="1"/>
  <c r="H8" i="27" s="1"/>
  <c r="D119" i="25" l="1"/>
  <c r="E119" i="25"/>
  <c r="F119" i="25"/>
  <c r="G119" i="25"/>
  <c r="H119" i="25"/>
  <c r="I119" i="25"/>
  <c r="J119" i="25"/>
  <c r="K119" i="25"/>
  <c r="L119" i="25"/>
  <c r="M119" i="25"/>
  <c r="N119" i="25"/>
  <c r="C119" i="25"/>
  <c r="D112" i="25"/>
  <c r="E112" i="25"/>
  <c r="F112" i="25"/>
  <c r="G112" i="25"/>
  <c r="H112" i="25"/>
  <c r="I112" i="25"/>
  <c r="J112" i="25"/>
  <c r="K112" i="25"/>
  <c r="L112" i="25"/>
  <c r="M112" i="25"/>
  <c r="N112" i="25"/>
  <c r="C112" i="25"/>
  <c r="L35" i="26"/>
  <c r="M35" i="26"/>
  <c r="N117" i="25"/>
  <c r="N35" i="26" s="1"/>
  <c r="D117" i="25"/>
  <c r="D35" i="26" s="1"/>
  <c r="E117" i="25"/>
  <c r="E35" i="26" s="1"/>
  <c r="F117" i="25"/>
  <c r="F35" i="26" s="1"/>
  <c r="G117" i="25"/>
  <c r="G35" i="26" s="1"/>
  <c r="H117" i="25"/>
  <c r="H35" i="26" s="1"/>
  <c r="I117" i="25"/>
  <c r="I35" i="26" s="1"/>
  <c r="J117" i="25"/>
  <c r="J35" i="26" s="1"/>
  <c r="K117" i="25"/>
  <c r="K35" i="26" s="1"/>
  <c r="L117" i="25"/>
  <c r="M117" i="25"/>
  <c r="C117" i="25"/>
  <c r="C35" i="26" s="1"/>
  <c r="C44" i="26" s="1"/>
  <c r="C46" i="26" s="1"/>
  <c r="B76" i="6"/>
  <c r="C34" i="24" s="1"/>
  <c r="C76" i="6"/>
  <c r="D45" i="26"/>
  <c r="E45" i="26"/>
  <c r="F45" i="26"/>
  <c r="G45" i="26"/>
  <c r="H45" i="26"/>
  <c r="I45" i="26"/>
  <c r="J45" i="26"/>
  <c r="K45" i="26"/>
  <c r="L45" i="26"/>
  <c r="M45" i="26"/>
  <c r="N45" i="26"/>
  <c r="C45" i="26"/>
  <c r="D41" i="26"/>
  <c r="E41" i="26"/>
  <c r="F41" i="26"/>
  <c r="G41" i="26"/>
  <c r="H41" i="26"/>
  <c r="I41" i="26"/>
  <c r="J41" i="26"/>
  <c r="K41" i="26"/>
  <c r="L41" i="26"/>
  <c r="M41" i="26"/>
  <c r="N41" i="26"/>
  <c r="C41" i="26"/>
  <c r="D64" i="25"/>
  <c r="E64" i="25"/>
  <c r="F64" i="25"/>
  <c r="G64" i="25"/>
  <c r="H64" i="25"/>
  <c r="I64" i="25"/>
  <c r="J64" i="25"/>
  <c r="K64" i="25"/>
  <c r="L64" i="25"/>
  <c r="M64" i="25"/>
  <c r="N64" i="25"/>
  <c r="O64" i="25"/>
  <c r="C64" i="25"/>
  <c r="C23" i="26"/>
  <c r="D23" i="26"/>
  <c r="E23" i="26"/>
  <c r="F23" i="26"/>
  <c r="G23" i="26"/>
  <c r="H23" i="26"/>
  <c r="I23" i="26"/>
  <c r="J23" i="26"/>
  <c r="K23" i="26"/>
  <c r="L23" i="26"/>
  <c r="M23" i="26"/>
  <c r="N23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D22" i="26"/>
  <c r="E22" i="26"/>
  <c r="F22" i="26"/>
  <c r="G22" i="26"/>
  <c r="H22" i="26"/>
  <c r="I22" i="26"/>
  <c r="J22" i="26"/>
  <c r="K22" i="26"/>
  <c r="L22" i="26"/>
  <c r="M22" i="26"/>
  <c r="N22" i="26"/>
  <c r="C22" i="26"/>
  <c r="B23" i="26"/>
  <c r="B24" i="26"/>
  <c r="B25" i="26"/>
  <c r="B26" i="26"/>
  <c r="B27" i="26"/>
  <c r="B28" i="26"/>
  <c r="B29" i="26"/>
  <c r="B30" i="26"/>
  <c r="B31" i="26"/>
  <c r="B32" i="26"/>
  <c r="B22" i="26"/>
  <c r="D14" i="26"/>
  <c r="E14" i="26"/>
  <c r="F14" i="26"/>
  <c r="G14" i="26"/>
  <c r="H14" i="26"/>
  <c r="I14" i="26"/>
  <c r="J14" i="26"/>
  <c r="K14" i="26"/>
  <c r="L14" i="26"/>
  <c r="M14" i="26"/>
  <c r="N14" i="26"/>
  <c r="D15" i="26"/>
  <c r="E15" i="26"/>
  <c r="F15" i="26"/>
  <c r="G15" i="26"/>
  <c r="H15" i="26"/>
  <c r="I15" i="26"/>
  <c r="J15" i="26"/>
  <c r="K15" i="26"/>
  <c r="L15" i="26"/>
  <c r="M15" i="26"/>
  <c r="N15" i="26"/>
  <c r="D16" i="26"/>
  <c r="E16" i="26"/>
  <c r="F16" i="26"/>
  <c r="G16" i="26"/>
  <c r="H16" i="26"/>
  <c r="I16" i="26"/>
  <c r="J16" i="26"/>
  <c r="K16" i="26"/>
  <c r="L16" i="26"/>
  <c r="M16" i="26"/>
  <c r="N16" i="26"/>
  <c r="C15" i="26"/>
  <c r="C16" i="26"/>
  <c r="C14" i="26"/>
  <c r="B14" i="26"/>
  <c r="B15" i="26"/>
  <c r="B16" i="26"/>
  <c r="G17" i="26"/>
  <c r="D9" i="26"/>
  <c r="E9" i="26"/>
  <c r="F9" i="26"/>
  <c r="G9" i="26"/>
  <c r="H9" i="26"/>
  <c r="I9" i="26"/>
  <c r="J9" i="26"/>
  <c r="K9" i="26"/>
  <c r="L9" i="26"/>
  <c r="M9" i="26"/>
  <c r="N9" i="26"/>
  <c r="D10" i="26"/>
  <c r="E10" i="26"/>
  <c r="F10" i="26"/>
  <c r="G10" i="26"/>
  <c r="H10" i="26"/>
  <c r="I10" i="26"/>
  <c r="J10" i="26"/>
  <c r="K10" i="26"/>
  <c r="L10" i="26"/>
  <c r="M10" i="26"/>
  <c r="N10" i="26"/>
  <c r="C10" i="26"/>
  <c r="C9" i="26"/>
  <c r="C8" i="26"/>
  <c r="D8" i="26"/>
  <c r="E8" i="26"/>
  <c r="F8" i="26"/>
  <c r="G8" i="26"/>
  <c r="H8" i="26"/>
  <c r="I8" i="26"/>
  <c r="J8" i="26"/>
  <c r="K8" i="26"/>
  <c r="L8" i="26"/>
  <c r="M8" i="26"/>
  <c r="N8" i="26"/>
  <c r="D7" i="26"/>
  <c r="E7" i="26"/>
  <c r="F7" i="26"/>
  <c r="G7" i="26"/>
  <c r="H7" i="26"/>
  <c r="I7" i="26"/>
  <c r="J7" i="26"/>
  <c r="K7" i="26"/>
  <c r="L7" i="26"/>
  <c r="M7" i="26"/>
  <c r="N7" i="26"/>
  <c r="C7" i="26"/>
  <c r="B3" i="26"/>
  <c r="D4" i="26"/>
  <c r="E4" i="26"/>
  <c r="F4" i="26"/>
  <c r="G4" i="26"/>
  <c r="H4" i="26"/>
  <c r="I4" i="26"/>
  <c r="J4" i="26"/>
  <c r="K4" i="26"/>
  <c r="L4" i="26"/>
  <c r="M4" i="26"/>
  <c r="N4" i="26"/>
  <c r="D3" i="27" s="1"/>
  <c r="E3" i="27" s="1"/>
  <c r="F3" i="27" s="1"/>
  <c r="G3" i="27" s="1"/>
  <c r="H3" i="27" s="1"/>
  <c r="I3" i="27" s="1"/>
  <c r="C4" i="26"/>
  <c r="D30" i="25"/>
  <c r="D32" i="26" s="1"/>
  <c r="E30" i="25"/>
  <c r="E32" i="26" s="1"/>
  <c r="F30" i="25"/>
  <c r="F32" i="26" s="1"/>
  <c r="G30" i="25"/>
  <c r="G32" i="26" s="1"/>
  <c r="H30" i="25"/>
  <c r="H32" i="26" s="1"/>
  <c r="I30" i="25"/>
  <c r="I32" i="26" s="1"/>
  <c r="J30" i="25"/>
  <c r="J32" i="26" s="1"/>
  <c r="K30" i="25"/>
  <c r="K32" i="26" s="1"/>
  <c r="L30" i="25"/>
  <c r="L32" i="26" s="1"/>
  <c r="M30" i="25"/>
  <c r="M32" i="26" s="1"/>
  <c r="N30" i="25"/>
  <c r="N32" i="26" s="1"/>
  <c r="C30" i="25"/>
  <c r="C32" i="26" s="1"/>
  <c r="D36" i="24"/>
  <c r="E36" i="24"/>
  <c r="F36" i="24"/>
  <c r="G36" i="24"/>
  <c r="H36" i="24"/>
  <c r="I36" i="24"/>
  <c r="J36" i="24"/>
  <c r="K36" i="24"/>
  <c r="L36" i="24"/>
  <c r="D37" i="24"/>
  <c r="E37" i="24"/>
  <c r="F37" i="24"/>
  <c r="G37" i="24"/>
  <c r="H37" i="24"/>
  <c r="I37" i="24"/>
  <c r="J37" i="24"/>
  <c r="K37" i="24"/>
  <c r="L37" i="24"/>
  <c r="D38" i="24"/>
  <c r="E38" i="24"/>
  <c r="F38" i="24"/>
  <c r="G38" i="24"/>
  <c r="H38" i="24"/>
  <c r="I38" i="24"/>
  <c r="J38" i="24"/>
  <c r="K38" i="24"/>
  <c r="L38" i="24"/>
  <c r="C37" i="24"/>
  <c r="C38" i="24"/>
  <c r="C36" i="24"/>
  <c r="D32" i="24"/>
  <c r="E32" i="24"/>
  <c r="F32" i="24"/>
  <c r="G32" i="24"/>
  <c r="H32" i="24"/>
  <c r="I32" i="24"/>
  <c r="J32" i="24"/>
  <c r="K32" i="24"/>
  <c r="L32" i="24"/>
  <c r="D33" i="24"/>
  <c r="E33" i="24"/>
  <c r="F33" i="24"/>
  <c r="G33" i="24"/>
  <c r="H33" i="24"/>
  <c r="I33" i="24"/>
  <c r="J33" i="24"/>
  <c r="K33" i="24"/>
  <c r="L33" i="24"/>
  <c r="D34" i="24"/>
  <c r="E34" i="24"/>
  <c r="F34" i="24"/>
  <c r="G34" i="24"/>
  <c r="H34" i="24"/>
  <c r="I34" i="24"/>
  <c r="J34" i="24"/>
  <c r="K34" i="24"/>
  <c r="L34" i="24"/>
  <c r="D35" i="24"/>
  <c r="E35" i="24"/>
  <c r="F35" i="24"/>
  <c r="G35" i="24"/>
  <c r="H35" i="24"/>
  <c r="I35" i="24"/>
  <c r="J35" i="24"/>
  <c r="K35" i="24"/>
  <c r="L35" i="24"/>
  <c r="C33" i="24"/>
  <c r="C35" i="24"/>
  <c r="C32" i="24"/>
  <c r="D31" i="24"/>
  <c r="E31" i="24"/>
  <c r="F31" i="24"/>
  <c r="G31" i="24"/>
  <c r="H31" i="24"/>
  <c r="I31" i="24"/>
  <c r="J31" i="24"/>
  <c r="K31" i="24"/>
  <c r="L31" i="24"/>
  <c r="D76" i="6"/>
  <c r="E76" i="6"/>
  <c r="F76" i="6"/>
  <c r="G76" i="6"/>
  <c r="H76" i="6"/>
  <c r="I76" i="6"/>
  <c r="J76" i="6"/>
  <c r="K76" i="6"/>
  <c r="C75" i="6"/>
  <c r="D75" i="6"/>
  <c r="E75" i="6"/>
  <c r="F75" i="6"/>
  <c r="G75" i="6"/>
  <c r="H75" i="6"/>
  <c r="I75" i="6"/>
  <c r="J75" i="6"/>
  <c r="K75" i="6"/>
  <c r="B75" i="6"/>
  <c r="L27" i="24"/>
  <c r="D26" i="24"/>
  <c r="E26" i="24"/>
  <c r="F26" i="24"/>
  <c r="G26" i="24"/>
  <c r="H26" i="24"/>
  <c r="I26" i="24"/>
  <c r="J26" i="24"/>
  <c r="K26" i="24"/>
  <c r="L26" i="24"/>
  <c r="D27" i="24"/>
  <c r="E27" i="24"/>
  <c r="F27" i="24"/>
  <c r="G27" i="24"/>
  <c r="H27" i="24"/>
  <c r="I27" i="24"/>
  <c r="J27" i="24"/>
  <c r="K27" i="24"/>
  <c r="D28" i="24"/>
  <c r="E28" i="24"/>
  <c r="F28" i="24"/>
  <c r="G28" i="24"/>
  <c r="H28" i="24"/>
  <c r="I28" i="24"/>
  <c r="J28" i="24"/>
  <c r="K28" i="24"/>
  <c r="L28" i="24"/>
  <c r="D29" i="24"/>
  <c r="E29" i="24"/>
  <c r="F29" i="24"/>
  <c r="G29" i="24"/>
  <c r="H29" i="24"/>
  <c r="I29" i="24"/>
  <c r="J29" i="24"/>
  <c r="K29" i="24"/>
  <c r="L29" i="24"/>
  <c r="C27" i="24"/>
  <c r="C28" i="24"/>
  <c r="C29" i="24"/>
  <c r="C26" i="24"/>
  <c r="D25" i="24"/>
  <c r="E25" i="24"/>
  <c r="F25" i="24"/>
  <c r="G25" i="24"/>
  <c r="H25" i="24"/>
  <c r="I25" i="24"/>
  <c r="J25" i="24"/>
  <c r="K25" i="24"/>
  <c r="L25" i="24"/>
  <c r="C25" i="24"/>
  <c r="B27" i="24"/>
  <c r="B28" i="24"/>
  <c r="B29" i="24"/>
  <c r="B32" i="24"/>
  <c r="B33" i="24"/>
  <c r="B34" i="24"/>
  <c r="B35" i="24"/>
  <c r="B36" i="24"/>
  <c r="B37" i="24"/>
  <c r="B38" i="24"/>
  <c r="B26" i="24"/>
  <c r="D23" i="24"/>
  <c r="E23" i="24"/>
  <c r="F23" i="24"/>
  <c r="G23" i="24"/>
  <c r="H23" i="24"/>
  <c r="I23" i="24"/>
  <c r="J23" i="24"/>
  <c r="K23" i="24"/>
  <c r="L23" i="24"/>
  <c r="C23" i="24"/>
  <c r="B22" i="24"/>
  <c r="D5" i="24"/>
  <c r="E5" i="24"/>
  <c r="F5" i="24"/>
  <c r="G5" i="24"/>
  <c r="H5" i="24"/>
  <c r="I5" i="24"/>
  <c r="J5" i="24"/>
  <c r="K5" i="24"/>
  <c r="L5" i="24"/>
  <c r="D6" i="24"/>
  <c r="E6" i="24"/>
  <c r="F6" i="24"/>
  <c r="G6" i="24"/>
  <c r="H6" i="24"/>
  <c r="I6" i="24"/>
  <c r="J6" i="24"/>
  <c r="K6" i="24"/>
  <c r="L6" i="24"/>
  <c r="D7" i="24"/>
  <c r="E7" i="24"/>
  <c r="F7" i="24"/>
  <c r="G7" i="24"/>
  <c r="H7" i="24"/>
  <c r="I7" i="24"/>
  <c r="J7" i="24"/>
  <c r="K7" i="24"/>
  <c r="L7" i="24"/>
  <c r="D8" i="24"/>
  <c r="E8" i="24"/>
  <c r="F8" i="24"/>
  <c r="G8" i="24"/>
  <c r="H8" i="24"/>
  <c r="I8" i="24"/>
  <c r="J8" i="24"/>
  <c r="K8" i="24"/>
  <c r="L8" i="24"/>
  <c r="D9" i="24"/>
  <c r="E9" i="24"/>
  <c r="F9" i="24"/>
  <c r="G9" i="24"/>
  <c r="H9" i="24"/>
  <c r="I9" i="24"/>
  <c r="J9" i="24"/>
  <c r="K9" i="24"/>
  <c r="L9" i="24"/>
  <c r="D10" i="24"/>
  <c r="E10" i="24"/>
  <c r="F10" i="24"/>
  <c r="G10" i="24"/>
  <c r="H10" i="24"/>
  <c r="I10" i="24"/>
  <c r="J10" i="24"/>
  <c r="K10" i="24"/>
  <c r="L10" i="24"/>
  <c r="D11" i="24"/>
  <c r="E11" i="24"/>
  <c r="F11" i="24"/>
  <c r="G11" i="24"/>
  <c r="H11" i="24"/>
  <c r="I11" i="24"/>
  <c r="J11" i="24"/>
  <c r="K11" i="24"/>
  <c r="L11" i="24"/>
  <c r="D12" i="24"/>
  <c r="E12" i="24"/>
  <c r="F12" i="24"/>
  <c r="G12" i="24"/>
  <c r="H12" i="24"/>
  <c r="I12" i="24"/>
  <c r="J12" i="24"/>
  <c r="K12" i="24"/>
  <c r="L12" i="24"/>
  <c r="D13" i="24"/>
  <c r="E13" i="24"/>
  <c r="F13" i="24"/>
  <c r="G13" i="24"/>
  <c r="H13" i="24"/>
  <c r="I13" i="24"/>
  <c r="J13" i="24"/>
  <c r="K13" i="24"/>
  <c r="L13" i="24"/>
  <c r="D14" i="24"/>
  <c r="E14" i="24"/>
  <c r="F14" i="24"/>
  <c r="G14" i="24"/>
  <c r="H14" i="24"/>
  <c r="I14" i="24"/>
  <c r="J14" i="24"/>
  <c r="K14" i="24"/>
  <c r="L14" i="24"/>
  <c r="D15" i="24"/>
  <c r="E15" i="24"/>
  <c r="F15" i="24"/>
  <c r="G15" i="24"/>
  <c r="H15" i="24"/>
  <c r="I15" i="24"/>
  <c r="J15" i="24"/>
  <c r="K15" i="24"/>
  <c r="L15" i="24"/>
  <c r="D16" i="24"/>
  <c r="E16" i="24"/>
  <c r="F16" i="24"/>
  <c r="G16" i="24"/>
  <c r="H16" i="24"/>
  <c r="I16" i="24"/>
  <c r="J16" i="24"/>
  <c r="K16" i="24"/>
  <c r="L16" i="24"/>
  <c r="D17" i="24"/>
  <c r="E17" i="24"/>
  <c r="F17" i="24"/>
  <c r="G17" i="24"/>
  <c r="H17" i="24"/>
  <c r="I17" i="24"/>
  <c r="J17" i="24"/>
  <c r="K17" i="24"/>
  <c r="L17" i="24"/>
  <c r="D18" i="24"/>
  <c r="E18" i="24"/>
  <c r="F18" i="24"/>
  <c r="G18" i="24"/>
  <c r="H18" i="24"/>
  <c r="I18" i="24"/>
  <c r="J18" i="24"/>
  <c r="K18" i="24"/>
  <c r="L18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5" i="24"/>
  <c r="B16" i="24"/>
  <c r="B17" i="24"/>
  <c r="B18" i="24"/>
  <c r="B6" i="24"/>
  <c r="B7" i="24"/>
  <c r="B8" i="24"/>
  <c r="B9" i="24"/>
  <c r="B10" i="24"/>
  <c r="B11" i="24"/>
  <c r="B12" i="24"/>
  <c r="B13" i="24"/>
  <c r="B14" i="24"/>
  <c r="B15" i="24"/>
  <c r="B5" i="24"/>
  <c r="B2" i="24"/>
  <c r="L3" i="24"/>
  <c r="K3" i="24"/>
  <c r="J3" i="24"/>
  <c r="I3" i="24"/>
  <c r="H3" i="24"/>
  <c r="G3" i="24"/>
  <c r="F3" i="24"/>
  <c r="E3" i="24"/>
  <c r="D3" i="24"/>
  <c r="C3" i="24"/>
  <c r="G28" i="13"/>
  <c r="G26" i="13"/>
  <c r="M27" i="13"/>
  <c r="G6" i="23"/>
  <c r="G5" i="23"/>
  <c r="G4" i="23"/>
  <c r="AS11" i="15"/>
  <c r="H16" i="13"/>
  <c r="H17" i="13"/>
  <c r="J17" i="13" s="1"/>
  <c r="H18" i="13"/>
  <c r="H19" i="13"/>
  <c r="H15" i="13"/>
  <c r="G16" i="13"/>
  <c r="C35" i="13" s="1"/>
  <c r="G17" i="13"/>
  <c r="G18" i="13"/>
  <c r="G19" i="13"/>
  <c r="G15" i="13"/>
  <c r="AH14" i="15"/>
  <c r="AE12" i="15" s="1"/>
  <c r="AE18" i="15" s="1"/>
  <c r="AH13" i="15"/>
  <c r="AH12" i="15"/>
  <c r="F44" i="26" l="1"/>
  <c r="F46" i="26" s="1"/>
  <c r="K44" i="26"/>
  <c r="K46" i="26" s="1"/>
  <c r="I44" i="26"/>
  <c r="I46" i="26" s="1"/>
  <c r="H44" i="26"/>
  <c r="H46" i="26" s="1"/>
  <c r="E44" i="26"/>
  <c r="E46" i="26" s="1"/>
  <c r="M44" i="26"/>
  <c r="M46" i="26" s="1"/>
  <c r="D5" i="27"/>
  <c r="D44" i="26"/>
  <c r="D46" i="26" s="1"/>
  <c r="L44" i="26"/>
  <c r="L46" i="26" s="1"/>
  <c r="G44" i="26"/>
  <c r="G46" i="26" s="1"/>
  <c r="J44" i="26"/>
  <c r="J46" i="26" s="1"/>
  <c r="N44" i="26"/>
  <c r="N46" i="26" s="1"/>
  <c r="C31" i="24"/>
  <c r="K17" i="26"/>
  <c r="N17" i="26"/>
  <c r="J17" i="26"/>
  <c r="M17" i="26"/>
  <c r="F11" i="26"/>
  <c r="H17" i="26"/>
  <c r="I17" i="26"/>
  <c r="N11" i="26"/>
  <c r="N19" i="26" s="1"/>
  <c r="C17" i="26"/>
  <c r="J11" i="26"/>
  <c r="E17" i="26"/>
  <c r="D17" i="26"/>
  <c r="G11" i="26"/>
  <c r="G19" i="26" s="1"/>
  <c r="C11" i="26"/>
  <c r="L17" i="26"/>
  <c r="E11" i="26"/>
  <c r="M11" i="26"/>
  <c r="M19" i="26" s="1"/>
  <c r="L11" i="26"/>
  <c r="D11" i="26"/>
  <c r="K11" i="26"/>
  <c r="K19" i="26" s="1"/>
  <c r="I11" i="26"/>
  <c r="I19" i="26" s="1"/>
  <c r="F17" i="26"/>
  <c r="H11" i="26"/>
  <c r="J16" i="13"/>
  <c r="J19" i="13"/>
  <c r="C36" i="13"/>
  <c r="J15" i="13"/>
  <c r="J18" i="13"/>
  <c r="C37" i="13"/>
  <c r="E5" i="27" l="1"/>
  <c r="D7" i="27"/>
  <c r="D9" i="27" s="1"/>
  <c r="N34" i="26"/>
  <c r="N37" i="26" s="1"/>
  <c r="N58" i="26" s="1"/>
  <c r="N42" i="26"/>
  <c r="N48" i="26" s="1"/>
  <c r="N49" i="26" s="1"/>
  <c r="N57" i="26" s="1"/>
  <c r="N60" i="26" s="1"/>
  <c r="M34" i="26"/>
  <c r="M37" i="26" s="1"/>
  <c r="M58" i="26" s="1"/>
  <c r="I34" i="26"/>
  <c r="I37" i="26" s="1"/>
  <c r="I58" i="26" s="1"/>
  <c r="K34" i="26"/>
  <c r="K37" i="26" s="1"/>
  <c r="K58" i="26" s="1"/>
  <c r="G34" i="26"/>
  <c r="G37" i="26" s="1"/>
  <c r="G58" i="26" s="1"/>
  <c r="F19" i="26"/>
  <c r="G42" i="26" s="1"/>
  <c r="G48" i="26" s="1"/>
  <c r="G49" i="26" s="1"/>
  <c r="G57" i="26" s="1"/>
  <c r="G60" i="26" s="1"/>
  <c r="J19" i="26"/>
  <c r="H19" i="26"/>
  <c r="I42" i="26" s="1"/>
  <c r="I48" i="26" s="1"/>
  <c r="I49" i="26" s="1"/>
  <c r="I57" i="26" s="1"/>
  <c r="I60" i="26" s="1"/>
  <c r="D19" i="26"/>
  <c r="E19" i="26"/>
  <c r="C19" i="26"/>
  <c r="C34" i="26" s="1"/>
  <c r="C37" i="26" s="1"/>
  <c r="L19" i="26"/>
  <c r="F5" i="27" l="1"/>
  <c r="E7" i="27"/>
  <c r="E9" i="27" s="1"/>
  <c r="J34" i="26"/>
  <c r="J37" i="26" s="1"/>
  <c r="J58" i="26" s="1"/>
  <c r="J42" i="26"/>
  <c r="J48" i="26" s="1"/>
  <c r="J49" i="26" s="1"/>
  <c r="J57" i="26" s="1"/>
  <c r="J60" i="26" s="1"/>
  <c r="F34" i="26"/>
  <c r="F37" i="26" s="1"/>
  <c r="F58" i="26" s="1"/>
  <c r="F42" i="26"/>
  <c r="F48" i="26" s="1"/>
  <c r="F49" i="26" s="1"/>
  <c r="F57" i="26" s="1"/>
  <c r="F60" i="26" s="1"/>
  <c r="K42" i="26"/>
  <c r="K48" i="26" s="1"/>
  <c r="K49" i="26" s="1"/>
  <c r="L34" i="26"/>
  <c r="L37" i="26" s="1"/>
  <c r="L58" i="26" s="1"/>
  <c r="L42" i="26"/>
  <c r="L48" i="26" s="1"/>
  <c r="L49" i="26" s="1"/>
  <c r="L57" i="26" s="1"/>
  <c r="L60" i="26" s="1"/>
  <c r="M42" i="26"/>
  <c r="M48" i="26" s="1"/>
  <c r="M49" i="26" s="1"/>
  <c r="M57" i="26" s="1"/>
  <c r="M60" i="26" s="1"/>
  <c r="E34" i="26"/>
  <c r="E37" i="26" s="1"/>
  <c r="E58" i="26" s="1"/>
  <c r="E42" i="26"/>
  <c r="E48" i="26" s="1"/>
  <c r="E49" i="26" s="1"/>
  <c r="E57" i="26" s="1"/>
  <c r="E60" i="26" s="1"/>
  <c r="D34" i="26"/>
  <c r="D37" i="26" s="1"/>
  <c r="D58" i="26" s="1"/>
  <c r="D42" i="26"/>
  <c r="D48" i="26" s="1"/>
  <c r="D49" i="26" s="1"/>
  <c r="D57" i="26" s="1"/>
  <c r="D60" i="26" s="1"/>
  <c r="H34" i="26"/>
  <c r="H37" i="26" s="1"/>
  <c r="H58" i="26" s="1"/>
  <c r="H42" i="26"/>
  <c r="H48" i="26" s="1"/>
  <c r="H49" i="26" s="1"/>
  <c r="H57" i="26" s="1"/>
  <c r="H60" i="26" s="1"/>
  <c r="K12" i="15"/>
  <c r="K18" i="15" s="1"/>
  <c r="C31" i="9"/>
  <c r="C42" i="7"/>
  <c r="C41" i="7"/>
  <c r="M36" i="13"/>
  <c r="D36" i="13"/>
  <c r="M45" i="13"/>
  <c r="L22" i="13"/>
  <c r="L21" i="13"/>
  <c r="I22" i="13"/>
  <c r="I21" i="13"/>
  <c r="M16" i="13"/>
  <c r="K16" i="13"/>
  <c r="K17" i="13"/>
  <c r="K18" i="13"/>
  <c r="K19" i="13"/>
  <c r="K15" i="13"/>
  <c r="M17" i="13"/>
  <c r="M18" i="13"/>
  <c r="M19" i="13"/>
  <c r="M15" i="13"/>
  <c r="L7" i="12"/>
  <c r="L8" i="12"/>
  <c r="L9" i="12"/>
  <c r="L10" i="12"/>
  <c r="L6" i="12"/>
  <c r="K7" i="12"/>
  <c r="K8" i="12"/>
  <c r="K9" i="12"/>
  <c r="K10" i="12"/>
  <c r="K6" i="12"/>
  <c r="D16" i="12"/>
  <c r="E16" i="12" s="1"/>
  <c r="D18" i="12"/>
  <c r="E19" i="12" s="1"/>
  <c r="D17" i="12"/>
  <c r="E20" i="12"/>
  <c r="D19" i="12"/>
  <c r="D20" i="12"/>
  <c r="G5" i="27" l="1"/>
  <c r="F7" i="27"/>
  <c r="F9" i="27" s="1"/>
  <c r="N52" i="26"/>
  <c r="K57" i="26"/>
  <c r="K60" i="26" s="1"/>
  <c r="N63" i="26" s="1"/>
  <c r="N51" i="26"/>
  <c r="D35" i="13"/>
  <c r="D39" i="13" s="1"/>
  <c r="D37" i="13"/>
  <c r="K22" i="13"/>
  <c r="J22" i="13"/>
  <c r="M22" i="13"/>
  <c r="J21" i="13"/>
  <c r="K21" i="13"/>
  <c r="M21" i="13"/>
  <c r="M34" i="13" s="1"/>
  <c r="E18" i="12"/>
  <c r="E17" i="12"/>
  <c r="H5" i="27" l="1"/>
  <c r="G7" i="27"/>
  <c r="G9" i="27" s="1"/>
  <c r="N64" i="26"/>
  <c r="M46" i="13"/>
  <c r="E36" i="13"/>
  <c r="C16" i="12"/>
  <c r="C17" i="12" s="1"/>
  <c r="C18" i="12" s="1"/>
  <c r="C19" i="12" s="1"/>
  <c r="C20" i="12" s="1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5" i="12"/>
  <c r="E6" i="12"/>
  <c r="E7" i="12"/>
  <c r="E8" i="12"/>
  <c r="E9" i="12"/>
  <c r="E10" i="12"/>
  <c r="E11" i="12"/>
  <c r="E12" i="12"/>
  <c r="E13" i="12"/>
  <c r="E14" i="12"/>
  <c r="E15" i="12"/>
  <c r="E5" i="12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C27" i="12" s="1"/>
  <c r="C36" i="9"/>
  <c r="B2" i="9"/>
  <c r="L3" i="9"/>
  <c r="K3" i="9"/>
  <c r="J3" i="9"/>
  <c r="I3" i="9"/>
  <c r="H3" i="9"/>
  <c r="G3" i="9"/>
  <c r="F3" i="9"/>
  <c r="E3" i="9"/>
  <c r="D3" i="9"/>
  <c r="C3" i="9"/>
  <c r="D97" i="7"/>
  <c r="E97" i="7"/>
  <c r="F97" i="7"/>
  <c r="G97" i="7"/>
  <c r="H97" i="7"/>
  <c r="I97" i="7"/>
  <c r="J97" i="7"/>
  <c r="K97" i="7"/>
  <c r="L97" i="7"/>
  <c r="D98" i="7"/>
  <c r="E98" i="7"/>
  <c r="F98" i="7"/>
  <c r="G98" i="7"/>
  <c r="H98" i="7"/>
  <c r="I98" i="7"/>
  <c r="J98" i="7"/>
  <c r="K98" i="7"/>
  <c r="L98" i="7"/>
  <c r="D99" i="7"/>
  <c r="E99" i="7"/>
  <c r="F99" i="7"/>
  <c r="G99" i="7"/>
  <c r="H99" i="7"/>
  <c r="I99" i="7"/>
  <c r="J99" i="7"/>
  <c r="K99" i="7"/>
  <c r="L99" i="7"/>
  <c r="D100" i="7"/>
  <c r="E100" i="7"/>
  <c r="F100" i="7"/>
  <c r="G100" i="7"/>
  <c r="H100" i="7"/>
  <c r="I100" i="7"/>
  <c r="J100" i="7"/>
  <c r="K100" i="7"/>
  <c r="L100" i="7"/>
  <c r="D101" i="7"/>
  <c r="E101" i="7"/>
  <c r="F101" i="7"/>
  <c r="G101" i="7"/>
  <c r="H101" i="7"/>
  <c r="I101" i="7"/>
  <c r="J101" i="7"/>
  <c r="K101" i="7"/>
  <c r="L101" i="7"/>
  <c r="D102" i="7"/>
  <c r="E102" i="7"/>
  <c r="F102" i="7"/>
  <c r="G102" i="7"/>
  <c r="H102" i="7"/>
  <c r="I102" i="7"/>
  <c r="J102" i="7"/>
  <c r="K102" i="7"/>
  <c r="L102" i="7"/>
  <c r="D103" i="7"/>
  <c r="E103" i="7"/>
  <c r="F103" i="7"/>
  <c r="G103" i="7"/>
  <c r="H103" i="7"/>
  <c r="I103" i="7"/>
  <c r="J103" i="7"/>
  <c r="K103" i="7"/>
  <c r="L103" i="7"/>
  <c r="D104" i="7"/>
  <c r="E104" i="7"/>
  <c r="F104" i="7"/>
  <c r="G104" i="7"/>
  <c r="H104" i="7"/>
  <c r="I104" i="7"/>
  <c r="J104" i="7"/>
  <c r="K104" i="7"/>
  <c r="L104" i="7"/>
  <c r="C98" i="7"/>
  <c r="C99" i="7"/>
  <c r="C100" i="7"/>
  <c r="C101" i="7"/>
  <c r="C102" i="7"/>
  <c r="C103" i="7"/>
  <c r="C104" i="7"/>
  <c r="C97" i="7"/>
  <c r="L93" i="7"/>
  <c r="K93" i="7"/>
  <c r="J93" i="7"/>
  <c r="I93" i="7"/>
  <c r="H93" i="7"/>
  <c r="G93" i="7"/>
  <c r="F93" i="7"/>
  <c r="E93" i="7"/>
  <c r="D93" i="7"/>
  <c r="L92" i="7"/>
  <c r="K92" i="7"/>
  <c r="J92" i="7"/>
  <c r="I92" i="7"/>
  <c r="H92" i="7"/>
  <c r="G92" i="7"/>
  <c r="F92" i="7"/>
  <c r="E92" i="7"/>
  <c r="D92" i="7"/>
  <c r="L91" i="7"/>
  <c r="K91" i="7"/>
  <c r="J91" i="7"/>
  <c r="I91" i="7"/>
  <c r="H91" i="7"/>
  <c r="G91" i="7"/>
  <c r="F91" i="7"/>
  <c r="E91" i="7"/>
  <c r="D91" i="7"/>
  <c r="L90" i="7"/>
  <c r="K90" i="7"/>
  <c r="J90" i="7"/>
  <c r="I90" i="7"/>
  <c r="H90" i="7"/>
  <c r="G90" i="7"/>
  <c r="F90" i="7"/>
  <c r="E90" i="7"/>
  <c r="D90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L86" i="7"/>
  <c r="K86" i="7"/>
  <c r="J86" i="7"/>
  <c r="I86" i="7"/>
  <c r="H86" i="7"/>
  <c r="G86" i="7"/>
  <c r="F86" i="7"/>
  <c r="E86" i="7"/>
  <c r="D86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L83" i="7"/>
  <c r="K83" i="7"/>
  <c r="J83" i="7"/>
  <c r="I83" i="7"/>
  <c r="H83" i="7"/>
  <c r="G83" i="7"/>
  <c r="F83" i="7"/>
  <c r="E83" i="7"/>
  <c r="D83" i="7"/>
  <c r="C93" i="7"/>
  <c r="C92" i="7"/>
  <c r="C91" i="7"/>
  <c r="C90" i="7"/>
  <c r="C89" i="7"/>
  <c r="C88" i="7"/>
  <c r="C87" i="7"/>
  <c r="C86" i="7"/>
  <c r="C85" i="7"/>
  <c r="C84" i="7"/>
  <c r="C83" i="7"/>
  <c r="D72" i="7"/>
  <c r="E72" i="7"/>
  <c r="F72" i="7"/>
  <c r="G72" i="7"/>
  <c r="H72" i="7"/>
  <c r="I72" i="7"/>
  <c r="J72" i="7"/>
  <c r="K72" i="7"/>
  <c r="L72" i="7"/>
  <c r="D73" i="7"/>
  <c r="E73" i="7"/>
  <c r="F73" i="7"/>
  <c r="G73" i="7"/>
  <c r="H73" i="7"/>
  <c r="I73" i="7"/>
  <c r="J73" i="7"/>
  <c r="K73" i="7"/>
  <c r="L73" i="7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C73" i="7"/>
  <c r="C74" i="7"/>
  <c r="C75" i="7"/>
  <c r="C76" i="7"/>
  <c r="C77" i="7"/>
  <c r="C78" i="7"/>
  <c r="C79" i="7"/>
  <c r="C72" i="7"/>
  <c r="D60" i="7"/>
  <c r="E60" i="7"/>
  <c r="F60" i="7"/>
  <c r="G60" i="7"/>
  <c r="H60" i="7"/>
  <c r="I60" i="7"/>
  <c r="J60" i="7"/>
  <c r="K60" i="7"/>
  <c r="L60" i="7"/>
  <c r="D61" i="7"/>
  <c r="E61" i="7"/>
  <c r="F61" i="7"/>
  <c r="G61" i="7"/>
  <c r="H61" i="7"/>
  <c r="I61" i="7"/>
  <c r="J61" i="7"/>
  <c r="K61" i="7"/>
  <c r="L61" i="7"/>
  <c r="D62" i="7"/>
  <c r="E62" i="7"/>
  <c r="F62" i="7"/>
  <c r="G62" i="7"/>
  <c r="H62" i="7"/>
  <c r="I62" i="7"/>
  <c r="J62" i="7"/>
  <c r="K62" i="7"/>
  <c r="L62" i="7"/>
  <c r="C61" i="7"/>
  <c r="C62" i="7"/>
  <c r="C60" i="7"/>
  <c r="D54" i="7"/>
  <c r="E54" i="7"/>
  <c r="F54" i="7"/>
  <c r="G54" i="7"/>
  <c r="H54" i="7"/>
  <c r="I54" i="7"/>
  <c r="J54" i="7"/>
  <c r="K54" i="7"/>
  <c r="L54" i="7"/>
  <c r="D55" i="7"/>
  <c r="E55" i="7"/>
  <c r="F55" i="7"/>
  <c r="G55" i="7"/>
  <c r="H55" i="7"/>
  <c r="I55" i="7"/>
  <c r="J55" i="7"/>
  <c r="K55" i="7"/>
  <c r="L55" i="7"/>
  <c r="D56" i="7"/>
  <c r="E56" i="7"/>
  <c r="F56" i="7"/>
  <c r="G56" i="7"/>
  <c r="H56" i="7"/>
  <c r="I56" i="7"/>
  <c r="J56" i="7"/>
  <c r="K56" i="7"/>
  <c r="L56" i="7"/>
  <c r="C55" i="7"/>
  <c r="C56" i="7"/>
  <c r="C54" i="7"/>
  <c r="C49" i="7"/>
  <c r="D49" i="7"/>
  <c r="E49" i="7"/>
  <c r="F49" i="7"/>
  <c r="G49" i="7"/>
  <c r="H49" i="7"/>
  <c r="I49" i="7"/>
  <c r="J49" i="7"/>
  <c r="K49" i="7"/>
  <c r="L49" i="7"/>
  <c r="C50" i="7"/>
  <c r="D50" i="7"/>
  <c r="E50" i="7"/>
  <c r="F50" i="7"/>
  <c r="G50" i="7"/>
  <c r="H50" i="7"/>
  <c r="I50" i="7"/>
  <c r="J50" i="7"/>
  <c r="K50" i="7"/>
  <c r="L50" i="7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48" i="7"/>
  <c r="D48" i="7"/>
  <c r="E48" i="7"/>
  <c r="F48" i="7"/>
  <c r="G48" i="7"/>
  <c r="H48" i="7"/>
  <c r="I48" i="7"/>
  <c r="J48" i="7"/>
  <c r="K48" i="7"/>
  <c r="L48" i="7"/>
  <c r="M41" i="7"/>
  <c r="M42" i="7" s="1"/>
  <c r="D37" i="7"/>
  <c r="D41" i="7" s="1"/>
  <c r="E37" i="7"/>
  <c r="E41" i="7" s="1"/>
  <c r="F37" i="7"/>
  <c r="F41" i="7" s="1"/>
  <c r="G37" i="7"/>
  <c r="G41" i="7" s="1"/>
  <c r="H37" i="7"/>
  <c r="H41" i="7" s="1"/>
  <c r="H9" i="9" s="1"/>
  <c r="I37" i="7"/>
  <c r="I41" i="7" s="1"/>
  <c r="J37" i="7"/>
  <c r="J41" i="7" s="1"/>
  <c r="J9" i="9" s="1"/>
  <c r="K37" i="7"/>
  <c r="K41" i="7" s="1"/>
  <c r="L37" i="7"/>
  <c r="L41" i="7" s="1"/>
  <c r="C37" i="7"/>
  <c r="C9" i="9" s="1"/>
  <c r="M22" i="7"/>
  <c r="M31" i="7"/>
  <c r="D31" i="7"/>
  <c r="E31" i="7"/>
  <c r="F31" i="7"/>
  <c r="G31" i="7"/>
  <c r="H31" i="7"/>
  <c r="I31" i="7"/>
  <c r="J31" i="7"/>
  <c r="K31" i="7"/>
  <c r="L31" i="7"/>
  <c r="C31" i="7"/>
  <c r="M25" i="7"/>
  <c r="D25" i="7"/>
  <c r="E25" i="7"/>
  <c r="F25" i="7"/>
  <c r="G25" i="7"/>
  <c r="H25" i="7"/>
  <c r="I25" i="7"/>
  <c r="J25" i="7"/>
  <c r="K25" i="7"/>
  <c r="L25" i="7"/>
  <c r="C25" i="7"/>
  <c r="D22" i="7"/>
  <c r="E22" i="7"/>
  <c r="F22" i="7"/>
  <c r="G22" i="7"/>
  <c r="H22" i="7"/>
  <c r="I22" i="7"/>
  <c r="J22" i="7"/>
  <c r="K22" i="7"/>
  <c r="L22" i="7"/>
  <c r="C22" i="7"/>
  <c r="C16" i="7"/>
  <c r="D16" i="7"/>
  <c r="E16" i="7"/>
  <c r="F16" i="7"/>
  <c r="G16" i="7"/>
  <c r="H16" i="7"/>
  <c r="I16" i="7"/>
  <c r="J16" i="7"/>
  <c r="K16" i="7"/>
  <c r="L16" i="7"/>
  <c r="M16" i="7"/>
  <c r="M10" i="7"/>
  <c r="D10" i="7"/>
  <c r="E10" i="7"/>
  <c r="F10" i="7"/>
  <c r="G10" i="7"/>
  <c r="H10" i="7"/>
  <c r="I10" i="7"/>
  <c r="J10" i="7"/>
  <c r="K10" i="7"/>
  <c r="L10" i="7"/>
  <c r="C10" i="7"/>
  <c r="M7" i="7"/>
  <c r="D7" i="7"/>
  <c r="D29" i="9" s="1"/>
  <c r="D35" i="9" s="1"/>
  <c r="E7" i="7"/>
  <c r="F7" i="7"/>
  <c r="F28" i="9" s="1"/>
  <c r="F34" i="9" s="1"/>
  <c r="G7" i="7"/>
  <c r="G29" i="9" s="1"/>
  <c r="G35" i="9" s="1"/>
  <c r="H7" i="7"/>
  <c r="H28" i="9" s="1"/>
  <c r="H34" i="9" s="1"/>
  <c r="I7" i="7"/>
  <c r="I30" i="9" s="1"/>
  <c r="J7" i="7"/>
  <c r="K7" i="7"/>
  <c r="K29" i="9" s="1"/>
  <c r="K35" i="9" s="1"/>
  <c r="L7" i="7"/>
  <c r="C7" i="7"/>
  <c r="D3" i="7"/>
  <c r="E3" i="7"/>
  <c r="F3" i="7"/>
  <c r="G3" i="7"/>
  <c r="H3" i="7"/>
  <c r="I3" i="7"/>
  <c r="J3" i="7"/>
  <c r="K3" i="7"/>
  <c r="L3" i="7"/>
  <c r="C3" i="7"/>
  <c r="B2" i="7"/>
  <c r="B6" i="6"/>
  <c r="I5" i="27" l="1"/>
  <c r="I7" i="27" s="1"/>
  <c r="I9" i="27" s="1"/>
  <c r="H7" i="27"/>
  <c r="H9" i="27" s="1"/>
  <c r="M43" i="13"/>
  <c r="E39" i="13"/>
  <c r="M35" i="13" s="1"/>
  <c r="M37" i="13" s="1"/>
  <c r="M28" i="13" s="1"/>
  <c r="M42" i="13" s="1"/>
  <c r="C25" i="12"/>
  <c r="C29" i="12"/>
  <c r="C26" i="12"/>
  <c r="L27" i="9"/>
  <c r="L33" i="9" s="1"/>
  <c r="E8" i="7"/>
  <c r="E5" i="9" s="1"/>
  <c r="G9" i="9"/>
  <c r="F29" i="9"/>
  <c r="F35" i="9" s="1"/>
  <c r="C80" i="7"/>
  <c r="L9" i="9"/>
  <c r="J94" i="7"/>
  <c r="I9" i="9"/>
  <c r="E30" i="9"/>
  <c r="D30" i="9"/>
  <c r="L28" i="9"/>
  <c r="L34" i="9" s="1"/>
  <c r="E9" i="9"/>
  <c r="K9" i="9"/>
  <c r="K28" i="9"/>
  <c r="K34" i="9" s="1"/>
  <c r="E28" i="9"/>
  <c r="E34" i="9" s="1"/>
  <c r="K80" i="7"/>
  <c r="K40" i="9" s="1"/>
  <c r="C94" i="7"/>
  <c r="E94" i="7"/>
  <c r="D105" i="7"/>
  <c r="D28" i="9"/>
  <c r="D34" i="9" s="1"/>
  <c r="D94" i="7"/>
  <c r="K30" i="9"/>
  <c r="J80" i="7"/>
  <c r="J38" i="9" s="1"/>
  <c r="F94" i="7"/>
  <c r="L94" i="7"/>
  <c r="K31" i="9"/>
  <c r="E29" i="9"/>
  <c r="E35" i="9" s="1"/>
  <c r="J27" i="9"/>
  <c r="J33" i="9" s="1"/>
  <c r="J30" i="9"/>
  <c r="I80" i="7"/>
  <c r="I40" i="9" s="1"/>
  <c r="L80" i="7"/>
  <c r="J31" i="9"/>
  <c r="H27" i="9"/>
  <c r="H33" i="9" s="1"/>
  <c r="G30" i="9"/>
  <c r="K94" i="7"/>
  <c r="F30" i="9"/>
  <c r="I31" i="9"/>
  <c r="H31" i="9"/>
  <c r="J105" i="7"/>
  <c r="G94" i="7"/>
  <c r="H94" i="7"/>
  <c r="H30" i="9"/>
  <c r="F80" i="7"/>
  <c r="L30" i="9"/>
  <c r="L29" i="9"/>
  <c r="L35" i="9" s="1"/>
  <c r="F9" i="9"/>
  <c r="H80" i="7"/>
  <c r="E80" i="7"/>
  <c r="C30" i="9"/>
  <c r="K27" i="9"/>
  <c r="K33" i="9" s="1"/>
  <c r="G27" i="9"/>
  <c r="G33" i="9" s="1"/>
  <c r="G31" i="9"/>
  <c r="G28" i="9"/>
  <c r="G34" i="9" s="1"/>
  <c r="C40" i="9"/>
  <c r="C38" i="9"/>
  <c r="K105" i="7"/>
  <c r="D27" i="9"/>
  <c r="D33" i="9" s="1"/>
  <c r="G80" i="7"/>
  <c r="D80" i="7"/>
  <c r="G105" i="7"/>
  <c r="I29" i="9"/>
  <c r="I35" i="9" s="1"/>
  <c r="I28" i="9"/>
  <c r="I34" i="9" s="1"/>
  <c r="C29" i="9"/>
  <c r="C27" i="9"/>
  <c r="C28" i="9"/>
  <c r="I94" i="7"/>
  <c r="J17" i="7"/>
  <c r="J17" i="9" s="1"/>
  <c r="J29" i="9"/>
  <c r="J35" i="9" s="1"/>
  <c r="J28" i="9"/>
  <c r="J34" i="9" s="1"/>
  <c r="D9" i="9"/>
  <c r="L31" i="9"/>
  <c r="H29" i="9"/>
  <c r="H35" i="9" s="1"/>
  <c r="I27" i="9"/>
  <c r="I33" i="9" s="1"/>
  <c r="I105" i="7"/>
  <c r="C105" i="7"/>
  <c r="F27" i="9"/>
  <c r="F33" i="9" s="1"/>
  <c r="E31" i="9"/>
  <c r="L105" i="7"/>
  <c r="F105" i="7"/>
  <c r="D31" i="9"/>
  <c r="F31" i="9"/>
  <c r="E27" i="9"/>
  <c r="E33" i="9" s="1"/>
  <c r="H105" i="7"/>
  <c r="E105" i="7"/>
  <c r="K17" i="7"/>
  <c r="K17" i="9" s="1"/>
  <c r="C57" i="7"/>
  <c r="C58" i="7" s="1"/>
  <c r="J63" i="7"/>
  <c r="D57" i="7"/>
  <c r="D58" i="7"/>
  <c r="D63" i="7"/>
  <c r="C63" i="7"/>
  <c r="K57" i="7"/>
  <c r="K58" i="7" s="1"/>
  <c r="H63" i="7"/>
  <c r="E11" i="7"/>
  <c r="J57" i="7"/>
  <c r="J58" i="7" s="1"/>
  <c r="G63" i="7"/>
  <c r="L63" i="7"/>
  <c r="I57" i="7"/>
  <c r="I58" i="7" s="1"/>
  <c r="F63" i="7"/>
  <c r="E63" i="7"/>
  <c r="G23" i="7"/>
  <c r="L57" i="7"/>
  <c r="L58" i="7" s="1"/>
  <c r="H57" i="7"/>
  <c r="H58" i="7" s="1"/>
  <c r="F57" i="7"/>
  <c r="F58" i="7" s="1"/>
  <c r="K63" i="7"/>
  <c r="I63" i="7"/>
  <c r="G57" i="7"/>
  <c r="G58" i="7" s="1"/>
  <c r="E57" i="7"/>
  <c r="E58" i="7" s="1"/>
  <c r="H23" i="7"/>
  <c r="J8" i="7"/>
  <c r="J5" i="9" s="1"/>
  <c r="C17" i="7"/>
  <c r="C17" i="9" s="1"/>
  <c r="I26" i="7"/>
  <c r="I18" i="9" s="1"/>
  <c r="D11" i="7"/>
  <c r="F8" i="7"/>
  <c r="F5" i="9" s="1"/>
  <c r="G17" i="7"/>
  <c r="G17" i="9" s="1"/>
  <c r="L11" i="7"/>
  <c r="D13" i="7"/>
  <c r="D14" i="7" s="1"/>
  <c r="D11" i="9" s="1"/>
  <c r="M26" i="7"/>
  <c r="M8" i="7"/>
  <c r="G13" i="7"/>
  <c r="F23" i="7"/>
  <c r="H13" i="7"/>
  <c r="H19" i="7" s="1"/>
  <c r="F13" i="7"/>
  <c r="F14" i="7" s="1"/>
  <c r="F11" i="9" s="1"/>
  <c r="E13" i="7"/>
  <c r="E14" i="7" s="1"/>
  <c r="E11" i="9" s="1"/>
  <c r="E17" i="7"/>
  <c r="E17" i="9" s="1"/>
  <c r="D17" i="7"/>
  <c r="D17" i="9" s="1"/>
  <c r="D8" i="7"/>
  <c r="D5" i="9" s="1"/>
  <c r="I8" i="7"/>
  <c r="I5" i="9" s="1"/>
  <c r="M13" i="7"/>
  <c r="M17" i="7"/>
  <c r="F26" i="7"/>
  <c r="F18" i="9" s="1"/>
  <c r="E26" i="7"/>
  <c r="E18" i="9" s="1"/>
  <c r="D26" i="7"/>
  <c r="D18" i="9" s="1"/>
  <c r="D23" i="7"/>
  <c r="C23" i="7"/>
  <c r="L13" i="7"/>
  <c r="L19" i="7" s="1"/>
  <c r="H8" i="7"/>
  <c r="H5" i="9" s="1"/>
  <c r="C26" i="7"/>
  <c r="C18" i="9" s="1"/>
  <c r="M23" i="7"/>
  <c r="E23" i="7"/>
  <c r="L26" i="7"/>
  <c r="L18" i="9" s="1"/>
  <c r="K26" i="7"/>
  <c r="K18" i="9" s="1"/>
  <c r="H17" i="7"/>
  <c r="H17" i="9" s="1"/>
  <c r="H26" i="7"/>
  <c r="H18" i="9" s="1"/>
  <c r="G26" i="7"/>
  <c r="G18" i="9" s="1"/>
  <c r="F17" i="7"/>
  <c r="F17" i="9" s="1"/>
  <c r="F11" i="7"/>
  <c r="G8" i="7"/>
  <c r="G5" i="9" s="1"/>
  <c r="I17" i="7"/>
  <c r="I17" i="9" s="1"/>
  <c r="I13" i="7"/>
  <c r="I14" i="7" s="1"/>
  <c r="I11" i="9" s="1"/>
  <c r="J26" i="7"/>
  <c r="J18" i="9" s="1"/>
  <c r="K11" i="7"/>
  <c r="L23" i="7"/>
  <c r="K23" i="7"/>
  <c r="L17" i="7"/>
  <c r="L17" i="9" s="1"/>
  <c r="I23" i="7"/>
  <c r="G11" i="7"/>
  <c r="C11" i="7"/>
  <c r="C13" i="7"/>
  <c r="L8" i="7"/>
  <c r="L5" i="9" s="1"/>
  <c r="K8" i="7"/>
  <c r="K5" i="9" s="1"/>
  <c r="K13" i="7"/>
  <c r="M44" i="7"/>
  <c r="J13" i="7"/>
  <c r="J14" i="7" s="1"/>
  <c r="J11" i="9" s="1"/>
  <c r="I11" i="7"/>
  <c r="J11" i="7"/>
  <c r="J23" i="7"/>
  <c r="C8" i="7"/>
  <c r="C5" i="9" s="1"/>
  <c r="H11" i="7"/>
  <c r="M11" i="7"/>
  <c r="F36" i="9" l="1"/>
  <c r="J106" i="7"/>
  <c r="L36" i="9"/>
  <c r="H36" i="9"/>
  <c r="I38" i="9"/>
  <c r="D106" i="7"/>
  <c r="J40" i="9"/>
  <c r="N9" i="9"/>
  <c r="L106" i="7"/>
  <c r="K106" i="7"/>
  <c r="K36" i="9"/>
  <c r="H106" i="7"/>
  <c r="E36" i="9"/>
  <c r="C106" i="7"/>
  <c r="D36" i="9"/>
  <c r="K38" i="9"/>
  <c r="N31" i="9"/>
  <c r="I106" i="7"/>
  <c r="G36" i="9"/>
  <c r="J36" i="9"/>
  <c r="L38" i="9"/>
  <c r="L40" i="9"/>
  <c r="O31" i="9"/>
  <c r="O30" i="9"/>
  <c r="N30" i="9"/>
  <c r="O5" i="9"/>
  <c r="G65" i="7"/>
  <c r="G67" i="7" s="1"/>
  <c r="C34" i="9"/>
  <c r="O28" i="9"/>
  <c r="N28" i="9"/>
  <c r="F106" i="7"/>
  <c r="F38" i="9"/>
  <c r="F40" i="9"/>
  <c r="O17" i="9"/>
  <c r="N17" i="9"/>
  <c r="I36" i="9"/>
  <c r="H28" i="7"/>
  <c r="H34" i="7" s="1"/>
  <c r="H38" i="7" s="1"/>
  <c r="H25" i="9"/>
  <c r="H21" i="9"/>
  <c r="H13" i="9"/>
  <c r="H19" i="9" s="1"/>
  <c r="E106" i="7"/>
  <c r="E38" i="9"/>
  <c r="E40" i="9"/>
  <c r="J65" i="7"/>
  <c r="O9" i="9"/>
  <c r="C33" i="9"/>
  <c r="N27" i="9"/>
  <c r="O27" i="9"/>
  <c r="L20" i="7"/>
  <c r="L12" i="9" s="1"/>
  <c r="L13" i="9"/>
  <c r="L19" i="9" s="1"/>
  <c r="L25" i="9"/>
  <c r="L21" i="9"/>
  <c r="D38" i="9"/>
  <c r="D40" i="9"/>
  <c r="G106" i="7"/>
  <c r="G38" i="9"/>
  <c r="G40" i="9"/>
  <c r="H38" i="9"/>
  <c r="H40" i="9"/>
  <c r="N5" i="9"/>
  <c r="O18" i="9"/>
  <c r="N18" i="9"/>
  <c r="C35" i="9"/>
  <c r="O29" i="9"/>
  <c r="N29" i="9"/>
  <c r="I65" i="7"/>
  <c r="K65" i="7"/>
  <c r="C65" i="7"/>
  <c r="D65" i="7"/>
  <c r="D67" i="7" s="1"/>
  <c r="F65" i="7"/>
  <c r="F67" i="7" s="1"/>
  <c r="E65" i="7"/>
  <c r="E67" i="7" s="1"/>
  <c r="H65" i="7"/>
  <c r="H67" i="7" s="1"/>
  <c r="L65" i="7"/>
  <c r="D19" i="7"/>
  <c r="I19" i="7"/>
  <c r="E19" i="7"/>
  <c r="F19" i="7"/>
  <c r="H20" i="7"/>
  <c r="H12" i="9" s="1"/>
  <c r="H14" i="7"/>
  <c r="H11" i="9" s="1"/>
  <c r="L14" i="7"/>
  <c r="L11" i="9" s="1"/>
  <c r="M14" i="7"/>
  <c r="M19" i="7"/>
  <c r="L28" i="7"/>
  <c r="G19" i="7"/>
  <c r="G14" i="7"/>
  <c r="G11" i="9" s="1"/>
  <c r="J19" i="7"/>
  <c r="C14" i="7"/>
  <c r="C11" i="9" s="1"/>
  <c r="C19" i="7"/>
  <c r="K19" i="7"/>
  <c r="K14" i="7"/>
  <c r="K11" i="9" s="1"/>
  <c r="O40" i="9" l="1"/>
  <c r="H39" i="9"/>
  <c r="G39" i="9"/>
  <c r="N38" i="9"/>
  <c r="N40" i="9"/>
  <c r="I67" i="7"/>
  <c r="I39" i="9"/>
  <c r="G25" i="9"/>
  <c r="G6" i="9"/>
  <c r="G21" i="9"/>
  <c r="G13" i="9"/>
  <c r="G19" i="9" s="1"/>
  <c r="O34" i="9"/>
  <c r="N34" i="9"/>
  <c r="L67" i="7"/>
  <c r="L39" i="9"/>
  <c r="H29" i="7"/>
  <c r="H14" i="9" s="1"/>
  <c r="O35" i="9"/>
  <c r="N35" i="9"/>
  <c r="I28" i="7"/>
  <c r="I25" i="9"/>
  <c r="I6" i="9"/>
  <c r="I13" i="9"/>
  <c r="I19" i="9" s="1"/>
  <c r="I21" i="9"/>
  <c r="H6" i="9"/>
  <c r="H35" i="7"/>
  <c r="H15" i="9" s="1"/>
  <c r="H23" i="9"/>
  <c r="O38" i="9"/>
  <c r="D39" i="9"/>
  <c r="C6" i="9"/>
  <c r="C25" i="9"/>
  <c r="C13" i="9"/>
  <c r="C21" i="9"/>
  <c r="C67" i="7"/>
  <c r="C39" i="9"/>
  <c r="E39" i="9"/>
  <c r="J28" i="7"/>
  <c r="J7" i="9" s="1"/>
  <c r="J25" i="9"/>
  <c r="J6" i="9"/>
  <c r="J13" i="9"/>
  <c r="J19" i="9" s="1"/>
  <c r="J21" i="9"/>
  <c r="F28" i="7"/>
  <c r="F6" i="9"/>
  <c r="F21" i="9"/>
  <c r="F13" i="9"/>
  <c r="F19" i="9" s="1"/>
  <c r="F25" i="9"/>
  <c r="E20" i="7"/>
  <c r="E12" i="9" s="1"/>
  <c r="E21" i="9"/>
  <c r="E6" i="9"/>
  <c r="E13" i="9"/>
  <c r="E19" i="9" s="1"/>
  <c r="E25" i="9"/>
  <c r="D20" i="7"/>
  <c r="D12" i="9" s="1"/>
  <c r="D21" i="9"/>
  <c r="D6" i="9"/>
  <c r="D25" i="9"/>
  <c r="D13" i="9"/>
  <c r="D19" i="9" s="1"/>
  <c r="L32" i="7"/>
  <c r="N33" i="9"/>
  <c r="O33" i="9"/>
  <c r="K13" i="9"/>
  <c r="K19" i="9" s="1"/>
  <c r="K25" i="9"/>
  <c r="K21" i="9"/>
  <c r="K6" i="9"/>
  <c r="J67" i="7"/>
  <c r="J39" i="9"/>
  <c r="H32" i="7"/>
  <c r="N11" i="9"/>
  <c r="O11" i="9"/>
  <c r="K67" i="7"/>
  <c r="K39" i="9"/>
  <c r="L6" i="9"/>
  <c r="F39" i="9"/>
  <c r="D28" i="7"/>
  <c r="D32" i="7" s="1"/>
  <c r="E28" i="7"/>
  <c r="E7" i="9" s="1"/>
  <c r="I20" i="7"/>
  <c r="I12" i="9" s="1"/>
  <c r="F32" i="7"/>
  <c r="F34" i="7"/>
  <c r="F38" i="7" s="1"/>
  <c r="F20" i="7"/>
  <c r="F12" i="9" s="1"/>
  <c r="J20" i="7"/>
  <c r="J12" i="9" s="1"/>
  <c r="L34" i="7"/>
  <c r="L38" i="7" s="1"/>
  <c r="L29" i="7"/>
  <c r="L14" i="9" s="1"/>
  <c r="G20" i="7"/>
  <c r="G12" i="9" s="1"/>
  <c r="G28" i="7"/>
  <c r="G7" i="9" s="1"/>
  <c r="H42" i="7"/>
  <c r="H44" i="7" s="1"/>
  <c r="H22" i="9" s="1"/>
  <c r="M28" i="7"/>
  <c r="M29" i="7" s="1"/>
  <c r="M20" i="7"/>
  <c r="E29" i="7"/>
  <c r="E14" i="9" s="1"/>
  <c r="E32" i="7"/>
  <c r="E34" i="7"/>
  <c r="E38" i="7" s="1"/>
  <c r="D29" i="7"/>
  <c r="D14" i="9" s="1"/>
  <c r="K20" i="7"/>
  <c r="K12" i="9" s="1"/>
  <c r="K28" i="7"/>
  <c r="C20" i="7"/>
  <c r="C12" i="9" s="1"/>
  <c r="C28" i="7"/>
  <c r="C7" i="9" s="1"/>
  <c r="D34" i="7" l="1"/>
  <c r="D38" i="7" s="1"/>
  <c r="H24" i="9"/>
  <c r="H7" i="9"/>
  <c r="E23" i="9"/>
  <c r="E8" i="9"/>
  <c r="O13" i="9"/>
  <c r="N13" i="9"/>
  <c r="C19" i="9"/>
  <c r="N25" i="9"/>
  <c r="O25" i="9"/>
  <c r="D8" i="9"/>
  <c r="D23" i="9"/>
  <c r="N36" i="9"/>
  <c r="O36" i="9"/>
  <c r="K7" i="9"/>
  <c r="L7" i="9"/>
  <c r="N21" i="9"/>
  <c r="O21" i="9"/>
  <c r="J32" i="7"/>
  <c r="J34" i="7"/>
  <c r="J38" i="7" s="1"/>
  <c r="O6" i="9"/>
  <c r="L35" i="7"/>
  <c r="L15" i="9" s="1"/>
  <c r="L8" i="9"/>
  <c r="L23" i="9"/>
  <c r="F42" i="7"/>
  <c r="F44" i="7" s="1"/>
  <c r="F22" i="9" s="1"/>
  <c r="F8" i="9"/>
  <c r="F23" i="9"/>
  <c r="N12" i="9"/>
  <c r="O12" i="9"/>
  <c r="N39" i="9"/>
  <c r="O39" i="9"/>
  <c r="D7" i="9"/>
  <c r="I32" i="7"/>
  <c r="I7" i="9"/>
  <c r="I29" i="7"/>
  <c r="I14" i="9" s="1"/>
  <c r="I34" i="7"/>
  <c r="I38" i="7" s="1"/>
  <c r="N6" i="9"/>
  <c r="F29" i="7"/>
  <c r="F14" i="9" s="1"/>
  <c r="F7" i="9"/>
  <c r="J29" i="7"/>
  <c r="J14" i="9" s="1"/>
  <c r="F35" i="7"/>
  <c r="F15" i="9" s="1"/>
  <c r="M32" i="7"/>
  <c r="M34" i="7"/>
  <c r="M35" i="7" s="1"/>
  <c r="G29" i="7"/>
  <c r="G14" i="9" s="1"/>
  <c r="G32" i="7"/>
  <c r="G34" i="7"/>
  <c r="G38" i="7" s="1"/>
  <c r="M39" i="7"/>
  <c r="L42" i="7"/>
  <c r="L44" i="7" s="1"/>
  <c r="L22" i="9" s="1"/>
  <c r="L24" i="9" s="1"/>
  <c r="D35" i="7"/>
  <c r="D15" i="9" s="1"/>
  <c r="C29" i="7"/>
  <c r="C14" i="9" s="1"/>
  <c r="C34" i="7"/>
  <c r="C38" i="7" s="1"/>
  <c r="C32" i="7"/>
  <c r="K29" i="7"/>
  <c r="K14" i="9" s="1"/>
  <c r="K34" i="7"/>
  <c r="K38" i="7" s="1"/>
  <c r="K32" i="7"/>
  <c r="E35" i="7"/>
  <c r="E15" i="9" s="1"/>
  <c r="O7" i="9" l="1"/>
  <c r="F24" i="9"/>
  <c r="J35" i="7"/>
  <c r="J15" i="9" s="1"/>
  <c r="I23" i="9"/>
  <c r="I8" i="9"/>
  <c r="I35" i="7"/>
  <c r="I15" i="9" s="1"/>
  <c r="K23" i="9"/>
  <c r="K8" i="9"/>
  <c r="C23" i="9"/>
  <c r="C8" i="9"/>
  <c r="O8" i="9" s="1"/>
  <c r="G23" i="9"/>
  <c r="G8" i="9"/>
  <c r="H8" i="9"/>
  <c r="N7" i="9"/>
  <c r="O19" i="9"/>
  <c r="N19" i="9"/>
  <c r="J23" i="9"/>
  <c r="J8" i="9"/>
  <c r="O14" i="9"/>
  <c r="N14" i="9"/>
  <c r="J44" i="7"/>
  <c r="J22" i="9" s="1"/>
  <c r="J24" i="9" s="1"/>
  <c r="G35" i="7"/>
  <c r="G15" i="9" s="1"/>
  <c r="E39" i="7"/>
  <c r="E42" i="7"/>
  <c r="E44" i="7" s="1"/>
  <c r="E22" i="9" s="1"/>
  <c r="E24" i="9" s="1"/>
  <c r="K35" i="7"/>
  <c r="K15" i="9" s="1"/>
  <c r="F39" i="7"/>
  <c r="D42" i="7"/>
  <c r="D44" i="7" s="1"/>
  <c r="D22" i="9" s="1"/>
  <c r="D24" i="9" s="1"/>
  <c r="C35" i="7"/>
  <c r="C15" i="9" s="1"/>
  <c r="J39" i="7"/>
  <c r="J42" i="7"/>
  <c r="N8" i="9" l="1"/>
  <c r="N23" i="9"/>
  <c r="O23" i="9"/>
  <c r="O15" i="9"/>
  <c r="N15" i="9"/>
  <c r="I42" i="7"/>
  <c r="I44" i="7" s="1"/>
  <c r="I22" i="9" s="1"/>
  <c r="I24" i="9" s="1"/>
  <c r="I39" i="7"/>
  <c r="H39" i="7"/>
  <c r="G39" i="7"/>
  <c r="G42" i="7"/>
  <c r="G44" i="7" s="1"/>
  <c r="G22" i="9" s="1"/>
  <c r="G24" i="9" s="1"/>
  <c r="K39" i="7"/>
  <c r="K42" i="7"/>
  <c r="K44" i="7" s="1"/>
  <c r="K22" i="9" s="1"/>
  <c r="K24" i="9" s="1"/>
  <c r="L39" i="7"/>
  <c r="C44" i="7"/>
  <c r="C22" i="9" s="1"/>
  <c r="D39" i="7"/>
  <c r="C24" i="9" l="1"/>
  <c r="N22" i="9"/>
  <c r="O22" i="9"/>
  <c r="O24" i="9" l="1"/>
  <c r="N2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AF1E0-81F0-4A6D-BDE9-A9DCACF9274B}" keepAlive="1" name="Query - Avenue" description="Connection to the 'Avenue' query in the workbook." type="5" refreshedVersion="0" background="1">
    <dbPr connection="Provider=Microsoft.Mashup.OleDb.1;Data Source=$Workbook$;Location=Avenue;Extended Properties=&quot;&quot;" command="SELECT * FROM [Avenue]"/>
  </connection>
  <connection id="2" xr16:uid="{2773648D-C054-4816-B4AD-3DC6DED660AA}" keepAlive="1" name="Query - Eternal" description="Connection to the 'Eternal' query in the workbook." type="5" refreshedVersion="0" background="1">
    <dbPr connection="Provider=Microsoft.Mashup.OleDb.1;Data Source=$Workbook$;Location=Eternal;Extended Properties=&quot;&quot;" command="SELECT * FROM [Eternal]"/>
  </connection>
  <connection id="3" xr16:uid="{045032C9-8A97-4163-924C-7D89A2696F02}" keepAlive="1" name="Query - Hindustan" description="Connection to the 'Hindustan' query in the workbook." type="5" refreshedVersion="0" background="1">
    <dbPr connection="Provider=Microsoft.Mashup.OleDb.1;Data Source=$Workbook$;Location=Hindustan;Extended Properties=&quot;&quot;" command="SELECT * FROM [Hindustan]"/>
  </connection>
  <connection id="4" xr16:uid="{393C357C-1C47-498A-BD7B-B5AD9518D708}" keepAlive="1" name="Query - Nifty" description="Connection to the 'Nifty' query in the workbook." type="5" refreshedVersion="0" background="1">
    <dbPr connection="Provider=Microsoft.Mashup.OleDb.1;Data Source=$Workbook$;Location=Nifty;Extended Properties=&quot;&quot;" command="SELECT * FROM [Nifty]"/>
  </connection>
  <connection id="5" xr16:uid="{D2279E72-B470-49B6-817E-2B98D61ABC88}" keepAlive="1" name="Query - SourceT" description="Connection to the 'SourceT' query in the workbook." type="5" refreshedVersion="0" background="1">
    <dbPr connection="Provider=Microsoft.Mashup.OleDb.1;Data Source=$Workbook$;Location=SourceT;Extended Properties=&quot;&quot;" command="SELECT * FROM [SourceT]"/>
  </connection>
</connections>
</file>

<file path=xl/sharedStrings.xml><?xml version="1.0" encoding="utf-8"?>
<sst xmlns="http://schemas.openxmlformats.org/spreadsheetml/2006/main" count="609" uniqueCount="370">
  <si>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</si>
  <si>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</si>
  <si>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</si>
  <si>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</si>
  <si>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</si>
  <si>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</si>
  <si>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</si>
  <si>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</si>
  <si>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</si>
  <si>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</si>
  <si>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</si>
  <si>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</si>
  <si>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</si>
  <si>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</si>
  <si>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</si>
  <si>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</si>
  <si>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</si>
  <si>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</si>
  <si>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</si>
  <si>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</si>
  <si>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</si>
  <si>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</si>
  <si>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</si>
  <si>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</si>
  <si>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</si>
  <si>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</si>
  <si>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</si>
  <si>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</si>
  <si>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</si>
  <si>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</si>
  <si>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</si>
  <si>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</si>
  <si>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</si>
  <si>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</si>
  <si>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</si>
  <si>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</si>
  <si>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</si>
  <si>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</si>
  <si>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</si>
  <si>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</si>
  <si>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</si>
  <si>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</si>
  <si>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</si>
  <si>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</si>
  <si>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</si>
  <si>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</si>
  <si>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</si>
  <si>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</si>
  <si>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</si>
  <si>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</si>
  <si>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</si>
  <si>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</si>
  <si>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</si>
  <si>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</si>
  <si>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</si>
  <si>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</si>
  <si>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Tata Motors</t>
  </si>
  <si>
    <t>Income Statement</t>
  </si>
  <si>
    <t>LTM</t>
  </si>
  <si>
    <t>COGS</t>
  </si>
  <si>
    <t>Gross Profit</t>
  </si>
  <si>
    <t>Gross Margin</t>
  </si>
  <si>
    <t>Selling &amp; General Expenses</t>
  </si>
  <si>
    <t>Selling Exp %</t>
  </si>
  <si>
    <t>EBITDA</t>
  </si>
  <si>
    <t>EBITDA Margins</t>
  </si>
  <si>
    <t>Depriciation</t>
  </si>
  <si>
    <t>EBT</t>
  </si>
  <si>
    <t>EBT as a % of Sales</t>
  </si>
  <si>
    <t>Depriciation as a % of Sales</t>
  </si>
  <si>
    <t>Interest as a % of Sales</t>
  </si>
  <si>
    <t>COGS as % of Sales</t>
  </si>
  <si>
    <t>Effective Tax Rate</t>
  </si>
  <si>
    <t>Net Profit</t>
  </si>
  <si>
    <t>Net Margins</t>
  </si>
  <si>
    <t>Earning Per Share</t>
  </si>
  <si>
    <t>Earning Growth %</t>
  </si>
  <si>
    <t>Dividend Per Share</t>
  </si>
  <si>
    <t>Dividend Payout Ratio</t>
  </si>
  <si>
    <t>Retained Earnings</t>
  </si>
  <si>
    <t>Balance Sheet</t>
  </si>
  <si>
    <t>Total Liabilities</t>
  </si>
  <si>
    <t>Total Non Current Assests</t>
  </si>
  <si>
    <t>Total Current Assests</t>
  </si>
  <si>
    <t>Total Assests</t>
  </si>
  <si>
    <t>Fixed Assest Net Block</t>
  </si>
  <si>
    <t>Balance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</si>
  <si>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</si>
  <si>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</si>
  <si>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</si>
  <si>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</si>
  <si>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</si>
  <si>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</si>
  <si>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</si>
  <si>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</si>
  <si>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</si>
  <si>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</si>
  <si>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</si>
  <si>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</si>
  <si>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</si>
  <si>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</si>
  <si>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</si>
  <si>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</si>
  <si>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</si>
  <si>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</si>
  <si>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</si>
  <si>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</si>
  <si>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</si>
  <si>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</si>
  <si>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</si>
  <si>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</si>
  <si>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</si>
  <si>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</si>
  <si>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</si>
  <si>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</si>
  <si>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</si>
  <si>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Operating Activities</t>
  </si>
  <si>
    <t>Cash From Operating Activities</t>
  </si>
  <si>
    <t>Investing Activites</t>
  </si>
  <si>
    <t>Cash From Investing Activites</t>
  </si>
  <si>
    <t>Financing Activities</t>
  </si>
  <si>
    <t>Cash From Financing Activites</t>
  </si>
  <si>
    <t>x</t>
  </si>
  <si>
    <t>EBITDA Growth</t>
  </si>
  <si>
    <t>Net Profit Growth</t>
  </si>
  <si>
    <t>Dividend Growth</t>
  </si>
  <si>
    <t>EBT Growth</t>
  </si>
  <si>
    <t>EBITDA Margin</t>
  </si>
  <si>
    <t>EBIT Margin</t>
  </si>
  <si>
    <t>EBT Margin</t>
  </si>
  <si>
    <t>Net Profit Margin</t>
  </si>
  <si>
    <t>Sales Expenses% of Sales</t>
  </si>
  <si>
    <t>Depriciation% of Sales</t>
  </si>
  <si>
    <t>Operating Income% of Sales</t>
  </si>
  <si>
    <t>Return on Capital Employed</t>
  </si>
  <si>
    <t>Return on Equity%</t>
  </si>
  <si>
    <t>Retained Earnings%</t>
  </si>
  <si>
    <t>Self Sustain Growth Rate</t>
  </si>
  <si>
    <t>Interest Covering Ratio</t>
  </si>
  <si>
    <t>EBIT/(EQ+DEBT) or EBIT/ Equity + Reserves + Borrowings</t>
  </si>
  <si>
    <t>Net Profit/ Shareholder funds (Share equity Capital + Reserves)</t>
  </si>
  <si>
    <t>G = B * R</t>
  </si>
  <si>
    <t>How much money do you have before interest so that you can pay interest for n times</t>
  </si>
  <si>
    <t>Debtor Turnover Ratio</t>
  </si>
  <si>
    <t>Sales/Debtor (Recievables)</t>
  </si>
  <si>
    <t>Creditor Turnover Ratio</t>
  </si>
  <si>
    <t>Inventory Turnover Ratio</t>
  </si>
  <si>
    <t>Fixed Assets Turnover Ratio</t>
  </si>
  <si>
    <t>Capital Turnover Ratio</t>
  </si>
  <si>
    <t>Payables * (x) = Sales</t>
  </si>
  <si>
    <t>Inventory * (x) = Sales</t>
  </si>
  <si>
    <t>Fixed Assests * (x) = Sales</t>
  </si>
  <si>
    <t>Capital Turnover Ratio * (x) = Sales</t>
  </si>
  <si>
    <t>Debtor Days</t>
  </si>
  <si>
    <t>Creditor Days</t>
  </si>
  <si>
    <t>Inventory Days</t>
  </si>
  <si>
    <t>Cash Conversion Cycle</t>
  </si>
  <si>
    <t>CFO/Sales</t>
  </si>
  <si>
    <t>CFO/Total Assests</t>
  </si>
  <si>
    <t>CFO/Total Debt</t>
  </si>
  <si>
    <t>Mean</t>
  </si>
  <si>
    <t>Median</t>
  </si>
  <si>
    <t>Trends</t>
  </si>
  <si>
    <t>Year Weight</t>
  </si>
  <si>
    <t>Arthimetic Mean (Growth)</t>
  </si>
  <si>
    <t>Growth</t>
  </si>
  <si>
    <t>Geometric Mean</t>
  </si>
  <si>
    <t>Harcoded Formula</t>
  </si>
  <si>
    <t>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</si>
  <si>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</si>
  <si>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</si>
  <si>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</si>
  <si>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</si>
  <si>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</si>
  <si>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</si>
  <si>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</si>
  <si>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</si>
  <si>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</si>
  <si>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</si>
  <si>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</si>
  <si>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</si>
  <si>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</si>
  <si>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</si>
  <si>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</si>
  <si>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</si>
  <si>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</si>
  <si>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</si>
  <si>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</si>
  <si>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</si>
  <si>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</si>
  <si>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</si>
  <si>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</si>
  <si>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Formula that is used here, = Intercept + Weight * Year Weight</t>
  </si>
  <si>
    <t>Weighted Average Cost of Capital</t>
  </si>
  <si>
    <t>All Figures are in INR unless Stated otherwise</t>
  </si>
  <si>
    <t>Peer Comps</t>
  </si>
  <si>
    <t>Name of the Comp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</si>
  <si>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</si>
  <si>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</si>
  <si>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</si>
  <si>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</si>
  <si>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t>Debt/</t>
  </si>
  <si>
    <t>Equity</t>
  </si>
  <si>
    <t>Capital</t>
  </si>
  <si>
    <t>Levered/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</si>
  <si>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</si>
  <si>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t>Unlevered/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</si>
  <si>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</si>
  <si>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Beta = “how jumpy” the stock is</t>
  </si>
  <si>
    <t>India</t>
  </si>
  <si>
    <t>LB/(1+(1 - Tax)* Debt/Equity)</t>
  </si>
  <si>
    <t>Average</t>
  </si>
  <si>
    <t>Cost of Debt</t>
  </si>
  <si>
    <t>Pre-Tax Cost of Debt</t>
  </si>
  <si>
    <t>Tax Rate</t>
  </si>
  <si>
    <t>After-Tax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</si>
  <si>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</si>
  <si>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</si>
  <si>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</si>
  <si>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</si>
  <si>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</si>
  <si>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</si>
  <si>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</si>
  <si>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</si>
  <si>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Total Capital</t>
  </si>
  <si>
    <t>Comps Median Unlevered Beta</t>
  </si>
  <si>
    <t>Target Debt/Equity</t>
  </si>
  <si>
    <t>Debt/Equity</t>
  </si>
  <si>
    <t>Debt</t>
  </si>
  <si>
    <t>Beta Calculation - Regression</t>
  </si>
  <si>
    <t>Date</t>
  </si>
  <si>
    <t>Avenue SuperMart Data</t>
  </si>
  <si>
    <t>Return</t>
  </si>
  <si>
    <t>Closing Price</t>
  </si>
  <si>
    <t>Beta 1</t>
  </si>
  <si>
    <t>Beta 2</t>
  </si>
  <si>
    <t>X Variable 1</t>
  </si>
  <si>
    <t>Beta 3</t>
  </si>
  <si>
    <t>Beta Drifting</t>
  </si>
  <si>
    <t>Raw Levered Beta</t>
  </si>
  <si>
    <t>Beta Weight</t>
  </si>
  <si>
    <t>Market Beta</t>
  </si>
  <si>
    <t>Market Weight Beta</t>
  </si>
  <si>
    <t>Adjusted Beta</t>
  </si>
  <si>
    <t>Market Weight</t>
  </si>
  <si>
    <t>Avenue SuperMart!</t>
  </si>
  <si>
    <t>Hindustan</t>
  </si>
  <si>
    <t>Beta Rifting</t>
  </si>
  <si>
    <t>Beta Calculation</t>
  </si>
  <si>
    <t>Raw Leverred Beta</t>
  </si>
  <si>
    <t>Trent</t>
  </si>
  <si>
    <t>Eternal Ltd</t>
  </si>
  <si>
    <t>Avenue Super.</t>
  </si>
  <si>
    <t>Swiggy</t>
  </si>
  <si>
    <t>Info Edg.(India)</t>
  </si>
  <si>
    <t>S No.</t>
  </si>
  <si>
    <t>Company</t>
  </si>
  <si>
    <t>CMP</t>
  </si>
  <si>
    <t>Mrkt Capitalisation</t>
  </si>
  <si>
    <t>Eternal</t>
  </si>
  <si>
    <t>Market</t>
  </si>
  <si>
    <t>Beta formula = how much stock and market move together (covariance), divided by how volatile the market is (variance). 
Website Used - Investor.Com, PrimeInvestor.com, Screener</t>
  </si>
  <si>
    <t>Year</t>
  </si>
  <si>
    <t>Annual</t>
  </si>
  <si>
    <t>Average Return</t>
  </si>
  <si>
    <t>Dividend Yeild</t>
  </si>
  <si>
    <t>Total Market Price</t>
  </si>
  <si>
    <t>Equity Weight</t>
  </si>
  <si>
    <t>Debt Weight</t>
  </si>
  <si>
    <t>WACC</t>
  </si>
  <si>
    <t>Particulars (P &amp; L)</t>
  </si>
  <si>
    <t>Total Liabilites</t>
  </si>
  <si>
    <t>Total Assets</t>
  </si>
  <si>
    <t>Particulars (Balance Sheet)</t>
  </si>
  <si>
    <t>Other Essests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</si>
  <si>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</si>
  <si>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</si>
  <si>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</si>
  <si>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</si>
  <si>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</si>
  <si>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</si>
  <si>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</si>
  <si>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</si>
  <si>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</si>
  <si>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</si>
  <si>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</si>
  <si>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</si>
  <si>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</si>
  <si>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</si>
  <si>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</si>
  <si>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</si>
  <si>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</si>
  <si>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</si>
  <si>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</si>
  <si>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</si>
  <si>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</si>
  <si>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</si>
  <si>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</si>
  <si>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</si>
  <si>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</si>
  <si>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</si>
  <si>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</si>
  <si>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</si>
  <si>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</si>
  <si>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</si>
  <si>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</si>
  <si>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</si>
  <si>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Particulars</t>
  </si>
  <si>
    <t>Current Assets</t>
  </si>
  <si>
    <t>Trade Receivables</t>
  </si>
  <si>
    <t>Loans and Advances</t>
  </si>
  <si>
    <t>Other Asset Items</t>
  </si>
  <si>
    <t>Total Current Assets</t>
  </si>
  <si>
    <t>Current Liabilites</t>
  </si>
  <si>
    <t>It's not an current Liability</t>
  </si>
  <si>
    <t>Total Current Liabilites</t>
  </si>
  <si>
    <t>Net Working Capital</t>
  </si>
  <si>
    <t>Fixed Assets</t>
  </si>
  <si>
    <t>Invested Capital</t>
  </si>
  <si>
    <t>Sales +</t>
  </si>
  <si>
    <t>Expenses +</t>
  </si>
  <si>
    <t>OPM %</t>
  </si>
  <si>
    <t>Other Income +</t>
  </si>
  <si>
    <t>Tax %</t>
  </si>
  <si>
    <t>Net Profit +</t>
  </si>
  <si>
    <t>EPS in Rs</t>
  </si>
  <si>
    <t>EBIT</t>
  </si>
  <si>
    <t>ROIC (Return on Investment Capital)</t>
  </si>
  <si>
    <t>Calculation of ROIC</t>
  </si>
  <si>
    <t>Calculation of Reinvestment Rate</t>
  </si>
  <si>
    <t>Cash Flow Statements</t>
  </si>
  <si>
    <t>P &amp; L</t>
  </si>
  <si>
    <t>Net Capex</t>
  </si>
  <si>
    <t>Change in Working Capital</t>
  </si>
  <si>
    <t>Mariginal Tax Rate</t>
  </si>
  <si>
    <t>EBIT(1-T)</t>
  </si>
  <si>
    <t>Reinvestment</t>
  </si>
  <si>
    <t>Reinvestment Rate</t>
  </si>
  <si>
    <t>4 Year Avg</t>
  </si>
  <si>
    <t>4 Year Median</t>
  </si>
  <si>
    <t>Calculation of Growth Rate</t>
  </si>
  <si>
    <t>Intrinsic Growth</t>
  </si>
  <si>
    <t>ROIC</t>
  </si>
  <si>
    <t>ReinveStment Rate</t>
  </si>
  <si>
    <t>Calculation of PV of FCFF</t>
  </si>
  <si>
    <t>EBIT(1-Tax)</t>
  </si>
  <si>
    <t>Less: Reinvestment Rate</t>
  </si>
  <si>
    <t>Free Cash Flow to Firm (FCFF)</t>
  </si>
  <si>
    <t>Dividend Payout %</t>
  </si>
  <si>
    <t>Tax \</t>
  </si>
  <si>
    <t>Please Check the formula</t>
  </si>
  <si>
    <t>Mid Year Convention</t>
  </si>
  <si>
    <t>Discounting Year</t>
  </si>
  <si>
    <t>PV of FCFF</t>
  </si>
  <si>
    <t>Expected Growth</t>
  </si>
  <si>
    <t>Terminal Growth</t>
  </si>
  <si>
    <t>FCFF (n+1)</t>
  </si>
  <si>
    <t>Terminal Value</t>
  </si>
  <si>
    <t>Calculation of Equity Value</t>
  </si>
  <si>
    <t>PV OF FCFF</t>
  </si>
  <si>
    <t>PV of Terminal Value</t>
  </si>
  <si>
    <t>Value of Operating Assets</t>
  </si>
  <si>
    <t>Add Cash:</t>
  </si>
  <si>
    <t>Less Debt:</t>
  </si>
  <si>
    <t xml:space="preserve">Value of Equity </t>
  </si>
  <si>
    <t>No of Shares</t>
  </si>
  <si>
    <t>Equity Value Per Share</t>
  </si>
  <si>
    <t>Share Price</t>
  </si>
  <si>
    <t>Discount Premium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</si>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</sst>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&quot;₹&quot;\ #,##0.0;\(&quot;₹&quot;#,##0.0\);\-"/>
    <numFmt numFmtId="168" formatCode="&quot;₹&quot;\ #,##0.00"/>
    <numFmt numFmtId="169" formatCode="0.00&quot;x&quot;"/>
    <numFmt numFmtId="170" formatCode="0&quot; days&quot;"/>
    <numFmt numFmtId="171" formatCode="#,##0.0"/>
    <numFmt numFmtId="172" formatCode="0&quot;A&quot;"/>
    <numFmt numFmtId="173" formatCode="0&quot;E&quot;"/>
    <numFmt numFmtId="174" formatCode="mmm/yy&quot;A&quot;"/>
    <numFmt numFmtId="175" formatCode="mmm/yy&quot;E&quot;"/>
    <numFmt numFmtId="176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dotted">
        <color auto="1"/>
      </top>
      <bottom style="double">
        <color auto="1"/>
      </bottom>
      <diagonal/>
    </border>
    <border>
      <left/>
      <right/>
      <top style="hair">
        <color theme="1"/>
      </top>
      <bottom style="double">
        <color theme="1"/>
      </bottom>
      <diagonal/>
    </border>
    <border>
      <left/>
      <right/>
      <top style="dashed">
        <color auto="1"/>
      </top>
      <bottom style="double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01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Border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1" fillId="0" borderId="0" xfId="0" applyFont="1"/>
    <xf numFmtId="0" fontId="2" fillId="4" borderId="0" xfId="0" applyFont="1" applyFill="1"/>
    <xf numFmtId="17" fontId="2" fillId="4" borderId="0" xfId="0" applyNumberFormat="1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0" fontId="1" fillId="5" borderId="0" xfId="0" applyFont="1" applyFill="1"/>
    <xf numFmtId="0" fontId="0" fillId="5" borderId="0" xfId="0" applyFill="1"/>
    <xf numFmtId="43" fontId="1" fillId="0" borderId="0" xfId="1" applyFont="1" applyFill="1" applyBorder="1"/>
    <xf numFmtId="168" fontId="1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7" fontId="1" fillId="0" borderId="0" xfId="0" applyNumberFormat="1" applyFont="1"/>
    <xf numFmtId="0" fontId="1" fillId="0" borderId="1" xfId="0" applyFont="1" applyBorder="1"/>
    <xf numFmtId="0" fontId="1" fillId="0" borderId="1" xfId="0" applyFont="1" applyFill="1" applyBorder="1"/>
    <xf numFmtId="167" fontId="1" fillId="0" borderId="1" xfId="0" applyNumberFormat="1" applyFont="1" applyBorder="1"/>
    <xf numFmtId="167" fontId="0" fillId="0" borderId="1" xfId="0" applyNumberFormat="1" applyBorder="1"/>
    <xf numFmtId="10" fontId="0" fillId="0" borderId="0" xfId="4" applyNumberFormat="1" applyFont="1"/>
    <xf numFmtId="10" fontId="0" fillId="0" borderId="0" xfId="4" applyNumberFormat="1" applyFont="1" applyAlignment="1">
      <alignment horizontal="right"/>
    </xf>
    <xf numFmtId="169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70" fontId="0" fillId="0" borderId="0" xfId="0" applyNumberFormat="1"/>
    <xf numFmtId="0" fontId="0" fillId="0" borderId="5" xfId="0" applyNumberFormat="1" applyBorder="1"/>
    <xf numFmtId="0" fontId="0" fillId="0" borderId="5" xfId="4" applyNumberFormat="1" applyFont="1" applyBorder="1"/>
    <xf numFmtId="0" fontId="0" fillId="0" borderId="5" xfId="0" applyBorder="1"/>
    <xf numFmtId="10" fontId="0" fillId="0" borderId="5" xfId="4" applyNumberFormat="1" applyFont="1" applyBorder="1"/>
    <xf numFmtId="10" fontId="0" fillId="0" borderId="5" xfId="0" applyNumberFormat="1" applyBorder="1"/>
    <xf numFmtId="169" fontId="0" fillId="0" borderId="5" xfId="0" applyNumberFormat="1" applyBorder="1"/>
    <xf numFmtId="43" fontId="1" fillId="0" borderId="5" xfId="1" applyFont="1" applyBorder="1"/>
    <xf numFmtId="43" fontId="1" fillId="0" borderId="5" xfId="1" applyFont="1" applyFill="1" applyBorder="1"/>
    <xf numFmtId="3" fontId="0" fillId="0" borderId="0" xfId="0" applyNumberFormat="1"/>
    <xf numFmtId="0" fontId="0" fillId="0" borderId="0" xfId="0" applyAlignment="1">
      <alignment horizontal="left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right"/>
    </xf>
    <xf numFmtId="171" fontId="9" fillId="0" borderId="0" xfId="0" applyNumberFormat="1" applyFont="1"/>
    <xf numFmtId="0" fontId="8" fillId="0" borderId="0" xfId="0" applyFont="1"/>
    <xf numFmtId="10" fontId="8" fillId="0" borderId="0" xfId="4" applyNumberFormat="1" applyFont="1"/>
    <xf numFmtId="172" fontId="0" fillId="0" borderId="0" xfId="0" applyNumberFormat="1"/>
    <xf numFmtId="173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10" fillId="0" borderId="8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Continuous"/>
    </xf>
    <xf numFmtId="171" fontId="0" fillId="0" borderId="0" xfId="0" applyNumberFormat="1" applyFont="1"/>
    <xf numFmtId="0" fontId="0" fillId="0" borderId="0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171" fontId="0" fillId="0" borderId="9" xfId="0" applyNumberFormat="1" applyFont="1" applyBorder="1"/>
    <xf numFmtId="171" fontId="0" fillId="0" borderId="10" xfId="0" applyNumberFormat="1" applyFont="1" applyBorder="1"/>
    <xf numFmtId="171" fontId="0" fillId="0" borderId="11" xfId="0" applyNumberFormat="1" applyFont="1" applyBorder="1"/>
    <xf numFmtId="10" fontId="0" fillId="0" borderId="2" xfId="4" applyNumberFormat="1" applyFont="1" applyBorder="1"/>
    <xf numFmtId="10" fontId="0" fillId="0" borderId="3" xfId="4" applyNumberFormat="1" applyFont="1" applyBorder="1"/>
    <xf numFmtId="10" fontId="0" fillId="0" borderId="4" xfId="4" applyNumberFormat="1" applyFont="1" applyBorder="1"/>
    <xf numFmtId="0" fontId="11" fillId="0" borderId="0" xfId="0" applyFont="1"/>
    <xf numFmtId="0" fontId="0" fillId="0" borderId="1" xfId="0" applyBorder="1"/>
    <xf numFmtId="0" fontId="0" fillId="0" borderId="12" xfId="0" applyBorder="1"/>
    <xf numFmtId="0" fontId="13" fillId="0" borderId="0" xfId="0" applyFont="1"/>
    <xf numFmtId="10" fontId="13" fillId="0" borderId="0" xfId="4" applyNumberFormat="1" applyFont="1"/>
    <xf numFmtId="2" fontId="0" fillId="0" borderId="0" xfId="0" applyNumberFormat="1"/>
    <xf numFmtId="10" fontId="0" fillId="0" borderId="1" xfId="0" applyNumberFormat="1" applyBorder="1"/>
    <xf numFmtId="2" fontId="0" fillId="0" borderId="1" xfId="0" applyNumberFormat="1" applyBorder="1"/>
    <xf numFmtId="0" fontId="1" fillId="0" borderId="12" xfId="0" applyFont="1" applyBorder="1"/>
    <xf numFmtId="10" fontId="0" fillId="0" borderId="12" xfId="0" applyNumberFormat="1" applyBorder="1"/>
    <xf numFmtId="2" fontId="0" fillId="0" borderId="12" xfId="0" applyNumberFormat="1" applyBorder="1"/>
    <xf numFmtId="0" fontId="0" fillId="0" borderId="13" xfId="0" applyBorder="1"/>
    <xf numFmtId="10" fontId="0" fillId="0" borderId="13" xfId="0" applyNumberFormat="1" applyBorder="1"/>
    <xf numFmtId="10" fontId="0" fillId="0" borderId="13" xfId="4" applyNumberFormat="1" applyFont="1" applyBorder="1"/>
    <xf numFmtId="2" fontId="0" fillId="0" borderId="13" xfId="0" applyNumberFormat="1" applyBorder="1"/>
    <xf numFmtId="0" fontId="0" fillId="0" borderId="12" xfId="0" applyBorder="1" applyAlignment="1">
      <alignment horizontal="center"/>
    </xf>
    <xf numFmtId="10" fontId="0" fillId="0" borderId="1" xfId="4" applyNumberFormat="1" applyFont="1" applyBorder="1"/>
    <xf numFmtId="0" fontId="0" fillId="7" borderId="0" xfId="0" applyFill="1"/>
    <xf numFmtId="14" fontId="0" fillId="8" borderId="0" xfId="0" applyNumberFormat="1" applyFill="1" applyBorder="1"/>
    <xf numFmtId="0" fontId="0" fillId="8" borderId="0" xfId="0" applyFill="1" applyBorder="1"/>
    <xf numFmtId="10" fontId="0" fillId="8" borderId="0" xfId="4" applyNumberFormat="1" applyFont="1" applyFill="1" applyBorder="1"/>
    <xf numFmtId="14" fontId="0" fillId="9" borderId="0" xfId="0" applyNumberFormat="1" applyFill="1" applyBorder="1"/>
    <xf numFmtId="0" fontId="0" fillId="9" borderId="0" xfId="0" applyFill="1" applyBorder="1"/>
    <xf numFmtId="10" fontId="0" fillId="9" borderId="0" xfId="4" applyNumberFormat="1" applyFont="1" applyFill="1" applyBorder="1"/>
    <xf numFmtId="0" fontId="1" fillId="9" borderId="12" xfId="0" applyFont="1" applyFill="1" applyBorder="1" applyAlignment="1">
      <alignment horizontal="center"/>
    </xf>
    <xf numFmtId="14" fontId="0" fillId="0" borderId="0" xfId="0" applyNumberFormat="1" applyFill="1" applyBorder="1"/>
    <xf numFmtId="0" fontId="0" fillId="0" borderId="0" xfId="0" applyFill="1" applyBorder="1"/>
    <xf numFmtId="10" fontId="0" fillId="0" borderId="0" xfId="4" applyNumberFormat="1" applyFont="1" applyFill="1" applyBorder="1"/>
    <xf numFmtId="14" fontId="14" fillId="0" borderId="0" xfId="0" applyNumberFormat="1" applyFont="1" applyFill="1" applyBorder="1"/>
    <xf numFmtId="0" fontId="1" fillId="9" borderId="12" xfId="0" applyFont="1" applyFill="1" applyBorder="1" applyAlignment="1">
      <alignment horizontal="center"/>
    </xf>
    <xf numFmtId="0" fontId="1" fillId="10" borderId="0" xfId="0" applyFont="1" applyFill="1"/>
    <xf numFmtId="2" fontId="1" fillId="10" borderId="0" xfId="0" applyNumberFormat="1" applyFont="1" applyFill="1" applyBorder="1"/>
    <xf numFmtId="0" fontId="1" fillId="0" borderId="0" xfId="0" applyFont="1" applyBorder="1"/>
    <xf numFmtId="2" fontId="15" fillId="0" borderId="0" xfId="0" applyNumberFormat="1" applyFont="1" applyBorder="1"/>
    <xf numFmtId="0" fontId="15" fillId="0" borderId="0" xfId="0" applyFont="1" applyBorder="1"/>
    <xf numFmtId="0" fontId="0" fillId="0" borderId="14" xfId="0" applyBorder="1"/>
    <xf numFmtId="2" fontId="0" fillId="0" borderId="15" xfId="0" applyNumberFormat="1" applyBorder="1"/>
    <xf numFmtId="0" fontId="0" fillId="0" borderId="16" xfId="0" applyBorder="1"/>
    <xf numFmtId="10" fontId="0" fillId="0" borderId="17" xfId="4" applyNumberFormat="1" applyFont="1" applyBorder="1"/>
    <xf numFmtId="0" fontId="0" fillId="0" borderId="17" xfId="0" applyBorder="1"/>
    <xf numFmtId="2" fontId="0" fillId="0" borderId="19" xfId="0" applyNumberFormat="1" applyBorder="1"/>
    <xf numFmtId="0" fontId="10" fillId="0" borderId="0" xfId="0" applyFont="1" applyFill="1" applyBorder="1" applyAlignment="1">
      <alignment horizontal="center"/>
    </xf>
    <xf numFmtId="0" fontId="0" fillId="0" borderId="18" xfId="0" applyBorder="1"/>
    <xf numFmtId="2" fontId="0" fillId="0" borderId="17" xfId="0" applyNumberFormat="1" applyBorder="1"/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9" xfId="0" applyBorder="1"/>
    <xf numFmtId="0" fontId="1" fillId="9" borderId="0" xfId="0" applyFont="1" applyFill="1" applyBorder="1" applyAlignment="1">
      <alignment horizontal="center"/>
    </xf>
    <xf numFmtId="2" fontId="0" fillId="0" borderId="0" xfId="0" applyNumberFormat="1" applyBorder="1"/>
    <xf numFmtId="10" fontId="0" fillId="0" borderId="16" xfId="4" applyNumberFormat="1" applyFont="1" applyBorder="1"/>
    <xf numFmtId="10" fontId="0" fillId="0" borderId="0" xfId="0" applyNumberFormat="1" applyBorder="1"/>
    <xf numFmtId="10" fontId="0" fillId="0" borderId="0" xfId="4" applyNumberFormat="1" applyFont="1" applyBorder="1"/>
    <xf numFmtId="10" fontId="1" fillId="0" borderId="0" xfId="0" applyNumberFormat="1" applyFont="1" applyBorder="1"/>
    <xf numFmtId="10" fontId="1" fillId="10" borderId="0" xfId="4" applyNumberFormat="1" applyFont="1" applyFill="1" applyBorder="1"/>
    <xf numFmtId="43" fontId="0" fillId="0" borderId="0" xfId="0" applyNumberFormat="1"/>
    <xf numFmtId="43" fontId="1" fillId="0" borderId="0" xfId="0" applyNumberFormat="1" applyFont="1"/>
    <xf numFmtId="10" fontId="1" fillId="0" borderId="0" xfId="4" applyNumberFormat="1" applyFont="1"/>
    <xf numFmtId="10" fontId="3" fillId="0" borderId="0" xfId="4" applyNumberFormat="1" applyFont="1"/>
    <xf numFmtId="7" fontId="0" fillId="0" borderId="0" xfId="0" applyNumberFormat="1"/>
    <xf numFmtId="17" fontId="1" fillId="0" borderId="0" xfId="0" applyNumberFormat="1" applyFont="1"/>
    <xf numFmtId="17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2" fillId="4" borderId="0" xfId="0" applyNumberFormat="1" applyFont="1" applyFill="1" applyAlignment="1">
      <alignment horizontal="center"/>
    </xf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0" fillId="0" borderId="20" xfId="0" applyBorder="1"/>
    <xf numFmtId="0" fontId="1" fillId="0" borderId="21" xfId="0" applyFont="1" applyBorder="1"/>
    <xf numFmtId="3" fontId="1" fillId="0" borderId="21" xfId="0" applyNumberFormat="1" applyFont="1" applyBorder="1" applyAlignment="1">
      <alignment horizontal="center"/>
    </xf>
    <xf numFmtId="0" fontId="2" fillId="0" borderId="0" xfId="0" applyFont="1" applyFill="1"/>
    <xf numFmtId="17" fontId="2" fillId="0" borderId="0" xfId="0" applyNumberFormat="1" applyFont="1" applyFill="1" applyAlignment="1">
      <alignment horizontal="center"/>
    </xf>
    <xf numFmtId="2" fontId="0" fillId="0" borderId="0" xfId="0" applyNumberFormat="1" applyFill="1"/>
    <xf numFmtId="2" fontId="2" fillId="0" borderId="0" xfId="0" applyNumberFormat="1" applyFont="1" applyFill="1"/>
    <xf numFmtId="0" fontId="0" fillId="0" borderId="20" xfId="0" applyBorder="1" applyAlignment="1">
      <alignment horizontal="left" indent="1"/>
    </xf>
    <xf numFmtId="0" fontId="1" fillId="0" borderId="22" xfId="0" applyFont="1" applyBorder="1"/>
    <xf numFmtId="3" fontId="1" fillId="0" borderId="22" xfId="0" applyNumberFormat="1" applyFont="1" applyBorder="1" applyAlignment="1">
      <alignment horizontal="center"/>
    </xf>
    <xf numFmtId="0" fontId="15" fillId="0" borderId="20" xfId="0" applyFont="1" applyBorder="1"/>
    <xf numFmtId="3" fontId="1" fillId="0" borderId="22" xfId="0" applyNumberFormat="1" applyFont="1" applyBorder="1"/>
    <xf numFmtId="3" fontId="0" fillId="0" borderId="20" xfId="0" applyNumberFormat="1" applyBorder="1"/>
    <xf numFmtId="3" fontId="1" fillId="0" borderId="20" xfId="0" applyNumberFormat="1" applyFont="1" applyBorder="1"/>
    <xf numFmtId="3" fontId="0" fillId="0" borderId="20" xfId="0" applyNumberFormat="1" applyBorder="1" applyAlignment="1">
      <alignment horizontal="left" indent="1"/>
    </xf>
    <xf numFmtId="17" fontId="0" fillId="0" borderId="0" xfId="0" applyNumberFormat="1"/>
    <xf numFmtId="1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17" fontId="1" fillId="0" borderId="0" xfId="0" applyNumberFormat="1" applyFont="1" applyAlignment="1">
      <alignment horizontal="center" vertical="center"/>
    </xf>
    <xf numFmtId="0" fontId="0" fillId="0" borderId="23" xfId="0" applyBorder="1"/>
    <xf numFmtId="3" fontId="0" fillId="0" borderId="23" xfId="0" applyNumberFormat="1" applyBorder="1"/>
    <xf numFmtId="0" fontId="1" fillId="11" borderId="0" xfId="0" applyFont="1" applyFill="1"/>
    <xf numFmtId="0" fontId="0" fillId="0" borderId="0" xfId="0" applyFill="1" applyAlignment="1">
      <alignment horizontal="center"/>
    </xf>
    <xf numFmtId="0" fontId="0" fillId="0" borderId="0" xfId="4" applyNumberFormat="1" applyFont="1"/>
    <xf numFmtId="10" fontId="17" fillId="0" borderId="0" xfId="4" applyNumberFormat="1" applyFont="1"/>
    <xf numFmtId="0" fontId="15" fillId="0" borderId="24" xfId="0" applyFont="1" applyBorder="1"/>
    <xf numFmtId="10" fontId="15" fillId="0" borderId="24" xfId="0" applyNumberFormat="1" applyFont="1" applyBorder="1"/>
    <xf numFmtId="10" fontId="0" fillId="10" borderId="0" xfId="0" applyNumberFormat="1" applyFill="1"/>
    <xf numFmtId="0" fontId="1" fillId="0" borderId="25" xfId="0" applyFont="1" applyBorder="1"/>
    <xf numFmtId="3" fontId="1" fillId="0" borderId="25" xfId="0" applyNumberFormat="1" applyFont="1" applyBorder="1"/>
    <xf numFmtId="174" fontId="2" fillId="4" borderId="0" xfId="0" applyNumberFormat="1" applyFont="1" applyFill="1"/>
    <xf numFmtId="175" fontId="2" fillId="4" borderId="0" xfId="0" applyNumberFormat="1" applyFont="1" applyFill="1"/>
    <xf numFmtId="10" fontId="9" fillId="0" borderId="0" xfId="0" applyNumberFormat="1" applyFont="1"/>
    <xf numFmtId="0" fontId="9" fillId="0" borderId="0" xfId="0" applyFont="1"/>
    <xf numFmtId="10" fontId="9" fillId="0" borderId="20" xfId="0" applyNumberFormat="1" applyFont="1" applyBorder="1"/>
    <xf numFmtId="10" fontId="0" fillId="0" borderId="20" xfId="0" applyNumberFormat="1" applyBorder="1"/>
    <xf numFmtId="0" fontId="9" fillId="0" borderId="20" xfId="0" applyFont="1" applyBorder="1"/>
    <xf numFmtId="3" fontId="0" fillId="9" borderId="20" xfId="0" applyNumberFormat="1" applyFill="1" applyBorder="1"/>
    <xf numFmtId="10" fontId="9" fillId="9" borderId="20" xfId="0" applyNumberFormat="1" applyFont="1" applyFill="1" applyBorder="1"/>
    <xf numFmtId="10" fontId="0" fillId="9" borderId="20" xfId="0" applyNumberFormat="1" applyFill="1" applyBorder="1"/>
    <xf numFmtId="0" fontId="0" fillId="9" borderId="20" xfId="0" applyFill="1" applyBorder="1"/>
    <xf numFmtId="176" fontId="0" fillId="0" borderId="20" xfId="0" applyNumberFormat="1" applyBorder="1"/>
    <xf numFmtId="0" fontId="1" fillId="0" borderId="26" xfId="0" applyFont="1" applyBorder="1"/>
    <xf numFmtId="2" fontId="1" fillId="0" borderId="26" xfId="0" applyNumberFormat="1" applyFont="1" applyBorder="1"/>
    <xf numFmtId="2" fontId="1" fillId="0" borderId="0" xfId="0" applyNumberFormat="1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9" borderId="0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33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22860</xdr:rowOff>
    </xdr:from>
    <xdr:to>
      <xdr:col>1</xdr:col>
      <xdr:colOff>1188720</xdr:colOff>
      <xdr:row>5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598A09-83EA-A233-12D1-C55119DD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860"/>
          <a:ext cx="1287780" cy="99060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86C7-2820-4702-9532-EC32ED0889BF}">
  <sheetPr>
    <tabColor theme="8" tint="-0.249977111117893"/>
    <pageSetUpPr fitToPage="1"/>
  </sheetPr>
  <dimension ref="A2:O106"/>
  <sheetViews>
    <sheetView showGridLines="0" zoomScaleNormal="100" workbookViewId="0">
      <pane ySplit="3" topLeftCell="A4" activePane="bottomLeft" state="frozen"/>
      <selection pane="bottomLeft" activeCell="F19" sqref="F19"/>
    </sheetView>
  </sheetViews>
  <sheetFormatPr defaultRowHeight="14.4" outlineLevelRow="1" x14ac:dyDescent="0.3"/>
  <cols>
    <col min="1" max="1" width="1.88671875" customWidth="1"/>
    <col min="2" max="2" width="26.5546875" bestFit="1" customWidth="1"/>
    <col min="3" max="4" width="12.109375" bestFit="1" customWidth="1"/>
    <col min="5" max="9" width="11.88671875" bestFit="1" customWidth="1"/>
    <col min="10" max="10" width="12.109375" bestFit="1" customWidth="1"/>
    <col min="11" max="12" width="11.88671875" bestFit="1" customWidth="1"/>
    <col min="13" max="13" width="10.88671875" bestFit="1" customWidth="1"/>
    <col min="15" max="15" width="10.44140625" bestFit="1" customWidth="1"/>
  </cols>
  <sheetData>
    <row r="2" spans="1:13" x14ac:dyDescent="0.3">
      <c r="B2" s="192" t="str">
        <f>"Historical Financial Statement - "&amp;UPDATE</f>
        <v>Historical Financial Statement - Tata Motors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1"/>
    </row>
    <row r="3" spans="1:13" x14ac:dyDescent="0.3"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2" t="s">
        <v>58</v>
      </c>
    </row>
    <row r="5" spans="1:13" x14ac:dyDescent="0.3">
      <c r="A5" t="s">
        <v>122</v>
      </c>
      <c r="B5" s="20" t="s">
        <v>57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s="25" customFormat="1" x14ac:dyDescent="0.3">
      <c r="B6" s="24"/>
    </row>
    <row r="7" spans="1:13" outlineLevel="1" x14ac:dyDescent="0.3">
      <c r="B7" t="s">
        <v>1</v>
      </c>
      <c r="C7" s="17">
        <f>IFERROR('Data Sheet'!B17,0)</f>
        <v>273045.59999999998</v>
      </c>
      <c r="D7" s="17">
        <f>IFERROR('Data Sheet'!C17,0)</f>
        <v>269692.51</v>
      </c>
      <c r="E7" s="17">
        <f>IFERROR('Data Sheet'!D17,0)</f>
        <v>291550.48</v>
      </c>
      <c r="F7" s="17">
        <f>IFERROR('Data Sheet'!E17,0)</f>
        <v>301938.40000000002</v>
      </c>
      <c r="G7" s="17">
        <f>IFERROR('Data Sheet'!F17,0)</f>
        <v>261067.97</v>
      </c>
      <c r="H7" s="17">
        <f>IFERROR('Data Sheet'!G17,0)</f>
        <v>249794.75</v>
      </c>
      <c r="I7" s="17">
        <f>IFERROR('Data Sheet'!H17,0)</f>
        <v>278453.62</v>
      </c>
      <c r="J7" s="17">
        <f>IFERROR('Data Sheet'!I17,0)</f>
        <v>345966.97</v>
      </c>
      <c r="K7" s="17">
        <f>IFERROR('Data Sheet'!J17,0)</f>
        <v>434016</v>
      </c>
      <c r="L7" s="17">
        <f>IFERROR('Data Sheet'!K17,0)</f>
        <v>439695</v>
      </c>
      <c r="M7" s="17">
        <f>IFERROR(SUM('Data Sheet'!H42:K42),0)</f>
        <v>437968</v>
      </c>
    </row>
    <row r="8" spans="1:13" outlineLevel="1" x14ac:dyDescent="0.3">
      <c r="B8" s="14" t="s">
        <v>10</v>
      </c>
      <c r="C8" s="15" t="str">
        <f>IFERROR(C7/B7-1, "-")</f>
        <v>-</v>
      </c>
      <c r="D8" s="16">
        <f t="shared" ref="D8:M8" si="0">IFERROR(D7/C7-1, 0)</f>
        <v>-1.2280329732469508E-2</v>
      </c>
      <c r="E8" s="16">
        <f t="shared" si="0"/>
        <v>8.104774581985974E-2</v>
      </c>
      <c r="F8" s="16">
        <f t="shared" si="0"/>
        <v>3.5629919045237157E-2</v>
      </c>
      <c r="G8" s="16">
        <f t="shared" si="0"/>
        <v>-0.135360159555724</v>
      </c>
      <c r="H8" s="16">
        <f t="shared" si="0"/>
        <v>-4.3181168490336042E-2</v>
      </c>
      <c r="I8" s="16">
        <f t="shared" si="0"/>
        <v>0.11472967306158344</v>
      </c>
      <c r="J8" s="16">
        <f t="shared" si="0"/>
        <v>0.24245815155859707</v>
      </c>
      <c r="K8" s="16">
        <f t="shared" si="0"/>
        <v>0.25450126062612277</v>
      </c>
      <c r="L8" s="16">
        <f t="shared" si="0"/>
        <v>1.3084771068347711E-2</v>
      </c>
      <c r="M8" s="16">
        <f t="shared" si="0"/>
        <v>-3.9277226259111231E-3</v>
      </c>
    </row>
    <row r="9" spans="1:13" outlineLevel="1" x14ac:dyDescent="0.3"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1:13" outlineLevel="1" x14ac:dyDescent="0.3">
      <c r="B10" t="s">
        <v>59</v>
      </c>
      <c r="C10" s="17">
        <f>IFERROR(SUM('Data Sheet'!B18,'Data Sheet'!B20,'Data Sheet'!B21) - 1 *'Data Sheet'!B19, 0)</f>
        <v>176628.18000000002</v>
      </c>
      <c r="D10" s="17">
        <f>IFERROR(SUM('Data Sheet'!C18,'Data Sheet'!C20,'Data Sheet'!C21) - 1 *'Data Sheet'!C19, 0)</f>
        <v>177121.34999999998</v>
      </c>
      <c r="E10" s="17">
        <f>IFERROR(SUM('Data Sheet'!D18,'Data Sheet'!D20,'Data Sheet'!D21) - 1 *'Data Sheet'!D19, 0)</f>
        <v>198129.74</v>
      </c>
      <c r="F10" s="17">
        <f>IFERROR(SUM('Data Sheet'!E18,'Data Sheet'!E20,'Data Sheet'!E21) - 1 *'Data Sheet'!E19, 0)</f>
        <v>209601.66</v>
      </c>
      <c r="G10" s="17">
        <f>IFERROR(SUM('Data Sheet'!F18,'Data Sheet'!F20,'Data Sheet'!F21) - 1 *'Data Sheet'!F19, 0)</f>
        <v>179937.47000000003</v>
      </c>
      <c r="H10" s="17">
        <f>IFERROR(SUM('Data Sheet'!G18,'Data Sheet'!G20,'Data Sheet'!G21) - 1 *'Data Sheet'!G19, 0)</f>
        <v>167677.56</v>
      </c>
      <c r="I10" s="17">
        <f>IFERROR(SUM('Data Sheet'!H18,'Data Sheet'!H20,'Data Sheet'!H21) - 1 *'Data Sheet'!H19, 0)</f>
        <v>192491.49</v>
      </c>
      <c r="J10" s="17">
        <f>IFERROR(SUM('Data Sheet'!I18,'Data Sheet'!I20,'Data Sheet'!I21) - 1 *'Data Sheet'!I19, 0)</f>
        <v>240748.94</v>
      </c>
      <c r="K10" s="17">
        <f>IFERROR(SUM('Data Sheet'!J18,'Data Sheet'!J20,'Data Sheet'!J21) - 1 *'Data Sheet'!J19, 0)</f>
        <v>292390</v>
      </c>
      <c r="L10" s="17">
        <f>IFERROR(SUM('Data Sheet'!K18,'Data Sheet'!K20,'Data Sheet'!K21) - 1 *'Data Sheet'!K19, 0)</f>
        <v>293042</v>
      </c>
      <c r="M10" s="17">
        <f>IFERROR(SUM('Data Sheet'!H43:K43),0)</f>
        <v>386344</v>
      </c>
    </row>
    <row r="11" spans="1:13" outlineLevel="1" x14ac:dyDescent="0.3">
      <c r="B11" s="14" t="s">
        <v>71</v>
      </c>
      <c r="C11" s="16">
        <f>IFERROR(C10/C7, 0)</f>
        <v>0.64688161977340064</v>
      </c>
      <c r="D11" s="16">
        <f t="shared" ref="D11:M11" si="1">IFERROR(D10/D7, 0)</f>
        <v>0.65675294430683284</v>
      </c>
      <c r="E11" s="16">
        <f t="shared" si="1"/>
        <v>0.67957267640238495</v>
      </c>
      <c r="F11" s="16">
        <f t="shared" si="1"/>
        <v>0.6941868275118368</v>
      </c>
      <c r="G11" s="16">
        <f t="shared" si="1"/>
        <v>0.6892361020005634</v>
      </c>
      <c r="H11" s="16">
        <f t="shared" si="1"/>
        <v>0.67126134556470862</v>
      </c>
      <c r="I11" s="16">
        <f t="shared" si="1"/>
        <v>0.69128743953840499</v>
      </c>
      <c r="J11" s="16">
        <f t="shared" si="1"/>
        <v>0.69587261466029549</v>
      </c>
      <c r="K11" s="16">
        <f t="shared" si="1"/>
        <v>0.67368484111184845</v>
      </c>
      <c r="L11" s="16">
        <f t="shared" si="1"/>
        <v>0.66646652793413619</v>
      </c>
      <c r="M11" s="16">
        <f t="shared" si="1"/>
        <v>0.88212837467577543</v>
      </c>
    </row>
    <row r="12" spans="1:13" outlineLevel="1" x14ac:dyDescent="0.3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outlineLevel="1" x14ac:dyDescent="0.3">
      <c r="B13" t="s">
        <v>60</v>
      </c>
      <c r="C13" s="13">
        <f>IFERROR(C7-C10, 0)</f>
        <v>96417.419999999955</v>
      </c>
      <c r="D13" s="13">
        <f t="shared" ref="D13:M13" si="2">IFERROR(D7-D10, 0)</f>
        <v>92571.160000000033</v>
      </c>
      <c r="E13" s="13">
        <f t="shared" si="2"/>
        <v>93420.739999999991</v>
      </c>
      <c r="F13" s="13">
        <f t="shared" si="2"/>
        <v>92336.74000000002</v>
      </c>
      <c r="G13" s="13">
        <f t="shared" si="2"/>
        <v>81130.499999999971</v>
      </c>
      <c r="H13" s="13">
        <f t="shared" si="2"/>
        <v>82117.19</v>
      </c>
      <c r="I13" s="13">
        <f t="shared" si="2"/>
        <v>85962.13</v>
      </c>
      <c r="J13" s="13">
        <f t="shared" si="2"/>
        <v>105218.02999999997</v>
      </c>
      <c r="K13" s="13">
        <f t="shared" si="2"/>
        <v>141626</v>
      </c>
      <c r="L13" s="13">
        <f t="shared" si="2"/>
        <v>146653</v>
      </c>
      <c r="M13" s="13">
        <f t="shared" si="2"/>
        <v>51624</v>
      </c>
    </row>
    <row r="14" spans="1:13" outlineLevel="1" x14ac:dyDescent="0.3">
      <c r="B14" s="14" t="s">
        <v>61</v>
      </c>
      <c r="C14" s="16">
        <f>C13/C7</f>
        <v>0.35311838022659936</v>
      </c>
      <c r="D14" s="16">
        <f t="shared" ref="D14:M14" si="3">D13/D7</f>
        <v>0.3432470556931671</v>
      </c>
      <c r="E14" s="16">
        <f t="shared" si="3"/>
        <v>0.32042732359761505</v>
      </c>
      <c r="F14" s="16">
        <f t="shared" si="3"/>
        <v>0.3058131724881632</v>
      </c>
      <c r="G14" s="16">
        <f t="shared" si="3"/>
        <v>0.3107638979994366</v>
      </c>
      <c r="H14" s="16">
        <f t="shared" si="3"/>
        <v>0.32873865443529138</v>
      </c>
      <c r="I14" s="16">
        <f t="shared" si="3"/>
        <v>0.30871256046159501</v>
      </c>
      <c r="J14" s="16">
        <f t="shared" si="3"/>
        <v>0.30412738533970446</v>
      </c>
      <c r="K14" s="16">
        <f t="shared" si="3"/>
        <v>0.3263151588881516</v>
      </c>
      <c r="L14" s="16">
        <f t="shared" si="3"/>
        <v>0.33353347206586381</v>
      </c>
      <c r="M14" s="16">
        <f t="shared" si="3"/>
        <v>0.1178716253242246</v>
      </c>
    </row>
    <row r="15" spans="1:13" outlineLevel="1" x14ac:dyDescent="0.3"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</row>
    <row r="16" spans="1:13" outlineLevel="1" x14ac:dyDescent="0.3">
      <c r="B16" t="s">
        <v>62</v>
      </c>
      <c r="C16" s="13">
        <f>IFERROR(SUM('Data Sheet'!B23:B24),0)</f>
        <v>29141.280000000002</v>
      </c>
      <c r="D16" s="13">
        <f>IFERROR(SUM('Data Sheet'!C23:C24),0)</f>
        <v>34649.58</v>
      </c>
      <c r="E16" s="13">
        <f>IFERROR(SUM('Data Sheet'!D23:D24),0)</f>
        <v>31662.97</v>
      </c>
      <c r="F16" s="13">
        <f>IFERROR(SUM('Data Sheet'!E23:E24),0)</f>
        <v>34428.54</v>
      </c>
      <c r="G16" s="13">
        <f>IFERROR(SUM('Data Sheet'!F23:F24),0)</f>
        <v>32704.83</v>
      </c>
      <c r="H16" s="13">
        <f>IFERROR(SUM('Data Sheet'!G23:G24),0)</f>
        <v>22181.280000000002</v>
      </c>
      <c r="I16" s="13">
        <f>IFERROR(SUM('Data Sheet'!H23:H24),0)</f>
        <v>30433.52</v>
      </c>
      <c r="J16" s="13">
        <f>IFERROR(SUM('Data Sheet'!I23:I24),0)</f>
        <v>39747.53</v>
      </c>
      <c r="K16" s="13">
        <f>IFERROR(SUM('Data Sheet'!J23:J24),0)</f>
        <v>41812</v>
      </c>
      <c r="L16" s="13">
        <f>IFERROR(SUM('Data Sheet'!K23:K24),0)</f>
        <v>43670</v>
      </c>
      <c r="M16" s="13">
        <f>IFERROR(SUM('Data Sheet'!L23:L24),0)</f>
        <v>0</v>
      </c>
    </row>
    <row r="17" spans="2:15" outlineLevel="1" x14ac:dyDescent="0.3">
      <c r="B17" s="14" t="s">
        <v>63</v>
      </c>
      <c r="C17" s="16">
        <f>IFERROR(C16/C7, 0)</f>
        <v>0.10672678849247161</v>
      </c>
      <c r="D17" s="16">
        <f t="shared" ref="D17:M17" si="4">IFERROR(D16/D7, 0)</f>
        <v>0.12847809529452636</v>
      </c>
      <c r="E17" s="16">
        <f t="shared" si="4"/>
        <v>0.10860201636437025</v>
      </c>
      <c r="F17" s="16">
        <f t="shared" si="4"/>
        <v>0.11402504616835751</v>
      </c>
      <c r="G17" s="16">
        <f t="shared" si="4"/>
        <v>0.12527323822987554</v>
      </c>
      <c r="H17" s="16">
        <f t="shared" si="4"/>
        <v>8.8798023177028354E-2</v>
      </c>
      <c r="I17" s="16">
        <f t="shared" si="4"/>
        <v>0.10929475436519734</v>
      </c>
      <c r="J17" s="16">
        <f t="shared" si="4"/>
        <v>0.11488822184383672</v>
      </c>
      <c r="K17" s="16">
        <f t="shared" si="4"/>
        <v>9.6337462213374622E-2</v>
      </c>
      <c r="L17" s="16">
        <f t="shared" si="4"/>
        <v>9.9318846018262658E-2</v>
      </c>
      <c r="M17" s="16">
        <f t="shared" si="4"/>
        <v>0</v>
      </c>
    </row>
    <row r="18" spans="2:15" outlineLevel="1" x14ac:dyDescent="0.3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2:15" outlineLevel="1" x14ac:dyDescent="0.3">
      <c r="B19" t="s">
        <v>64</v>
      </c>
      <c r="C19" s="13">
        <f>IFERROR(C13-C16,0)</f>
        <v>67276.139999999956</v>
      </c>
      <c r="D19" s="13">
        <f t="shared" ref="D19:L19" si="5">IFERROR(D13-D16,0)</f>
        <v>57921.580000000031</v>
      </c>
      <c r="E19" s="13">
        <f t="shared" si="5"/>
        <v>61757.76999999999</v>
      </c>
      <c r="F19" s="13">
        <f t="shared" si="5"/>
        <v>57908.200000000019</v>
      </c>
      <c r="G19" s="13">
        <f t="shared" si="5"/>
        <v>48425.669999999969</v>
      </c>
      <c r="H19" s="13">
        <f t="shared" si="5"/>
        <v>59935.91</v>
      </c>
      <c r="I19" s="13">
        <f t="shared" si="5"/>
        <v>55528.61</v>
      </c>
      <c r="J19" s="13">
        <f t="shared" si="5"/>
        <v>65470.499999999971</v>
      </c>
      <c r="K19" s="13">
        <f t="shared" si="5"/>
        <v>99814</v>
      </c>
      <c r="L19" s="13">
        <f t="shared" si="5"/>
        <v>102983</v>
      </c>
      <c r="M19" s="13">
        <f>IFERROR(M13-M16,0)</f>
        <v>51624</v>
      </c>
    </row>
    <row r="20" spans="2:15" outlineLevel="1" x14ac:dyDescent="0.3">
      <c r="B20" s="14" t="s">
        <v>65</v>
      </c>
      <c r="C20" s="16">
        <f>C19/C7</f>
        <v>0.24639159173412778</v>
      </c>
      <c r="D20" s="16">
        <f t="shared" ref="D20:L20" si="6">D19/D7</f>
        <v>0.21476896039864077</v>
      </c>
      <c r="E20" s="16">
        <f t="shared" si="6"/>
        <v>0.2118253072332448</v>
      </c>
      <c r="F20" s="16">
        <f t="shared" si="6"/>
        <v>0.19178812631980569</v>
      </c>
      <c r="G20" s="16">
        <f t="shared" si="6"/>
        <v>0.18549065976956103</v>
      </c>
      <c r="H20" s="16">
        <f t="shared" si="6"/>
        <v>0.23994063125826304</v>
      </c>
      <c r="I20" s="16">
        <f t="shared" si="6"/>
        <v>0.19941780609639767</v>
      </c>
      <c r="J20" s="16">
        <f t="shared" si="6"/>
        <v>0.18923916349586775</v>
      </c>
      <c r="K20" s="16">
        <f t="shared" si="6"/>
        <v>0.22997769667477697</v>
      </c>
      <c r="L20" s="16">
        <f t="shared" si="6"/>
        <v>0.23421462604760118</v>
      </c>
      <c r="M20" s="16">
        <f>M19/M7</f>
        <v>0.1178716253242246</v>
      </c>
    </row>
    <row r="21" spans="2:15" outlineLevel="1" x14ac:dyDescent="0.3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2:15" outlineLevel="1" x14ac:dyDescent="0.3">
      <c r="B22" t="s">
        <v>6</v>
      </c>
      <c r="C22" s="13">
        <f>IFERROR('Data Sheet'!B27,0)</f>
        <v>4889.08</v>
      </c>
      <c r="D22" s="13">
        <f>IFERROR('Data Sheet'!C27,0)</f>
        <v>4238.01</v>
      </c>
      <c r="E22" s="13">
        <f>IFERROR('Data Sheet'!D27,0)</f>
        <v>4681.79</v>
      </c>
      <c r="F22" s="13">
        <f>IFERROR('Data Sheet'!E27,0)</f>
        <v>5758.6</v>
      </c>
      <c r="G22" s="13">
        <f>IFERROR('Data Sheet'!F27,0)</f>
        <v>7243.33</v>
      </c>
      <c r="H22" s="13">
        <f>IFERROR('Data Sheet'!G27,0)</f>
        <v>8097.17</v>
      </c>
      <c r="I22" s="13">
        <f>IFERROR('Data Sheet'!H27,0)</f>
        <v>9311.86</v>
      </c>
      <c r="J22" s="13">
        <f>IFERROR('Data Sheet'!I27,0)</f>
        <v>10225.48</v>
      </c>
      <c r="K22" s="13">
        <f>IFERROR('Data Sheet'!J27,0)</f>
        <v>7594</v>
      </c>
      <c r="L22" s="13">
        <f>IFERROR('Data Sheet'!K27,0)</f>
        <v>5083</v>
      </c>
      <c r="M22" s="13">
        <f>IFERROR(SUM('Data Sheet'!H46:K46),0)</f>
        <v>5167</v>
      </c>
    </row>
    <row r="23" spans="2:15" outlineLevel="1" x14ac:dyDescent="0.3">
      <c r="B23" s="14" t="s">
        <v>70</v>
      </c>
      <c r="C23" s="16">
        <f>IFERROR(C22/C7,0)</f>
        <v>1.7905727101993223E-2</v>
      </c>
      <c r="D23" s="16">
        <f t="shared" ref="D23:L23" si="7">IFERROR(D22/D7,0)</f>
        <v>1.5714229512714312E-2</v>
      </c>
      <c r="E23" s="16">
        <f t="shared" si="7"/>
        <v>1.605824830060304E-2</v>
      </c>
      <c r="F23" s="16">
        <f t="shared" si="7"/>
        <v>1.9072102124141878E-2</v>
      </c>
      <c r="G23" s="16">
        <f t="shared" si="7"/>
        <v>2.7744996829752802E-2</v>
      </c>
      <c r="H23" s="16">
        <f t="shared" si="7"/>
        <v>3.2415292955516477E-2</v>
      </c>
      <c r="I23" s="16">
        <f t="shared" si="7"/>
        <v>3.3441332168710897E-2</v>
      </c>
      <c r="J23" s="16">
        <f t="shared" si="7"/>
        <v>2.9556231914277829E-2</v>
      </c>
      <c r="K23" s="16">
        <f t="shared" si="7"/>
        <v>1.7497050799970507E-2</v>
      </c>
      <c r="L23" s="16">
        <f t="shared" si="7"/>
        <v>1.1560286107415368E-2</v>
      </c>
      <c r="M23" s="16">
        <f>IFERROR(M22/M7,0)</f>
        <v>1.1797665582873635E-2</v>
      </c>
    </row>
    <row r="24" spans="2:15" outlineLevel="1" x14ac:dyDescent="0.3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2:15" outlineLevel="1" x14ac:dyDescent="0.3">
      <c r="B25" t="s">
        <v>66</v>
      </c>
      <c r="C25" s="13">
        <f>'Data Sheet'!B26</f>
        <v>16710.78</v>
      </c>
      <c r="D25" s="13">
        <f>'Data Sheet'!C26</f>
        <v>17904.990000000002</v>
      </c>
      <c r="E25" s="13">
        <f>'Data Sheet'!D26</f>
        <v>21553.59</v>
      </c>
      <c r="F25" s="13">
        <f>'Data Sheet'!E26</f>
        <v>23590.63</v>
      </c>
      <c r="G25" s="13">
        <f>'Data Sheet'!F26</f>
        <v>21425.43</v>
      </c>
      <c r="H25" s="13">
        <f>'Data Sheet'!G26</f>
        <v>23546.71</v>
      </c>
      <c r="I25" s="13">
        <f>'Data Sheet'!H26</f>
        <v>24835.69</v>
      </c>
      <c r="J25" s="13">
        <f>'Data Sheet'!I26</f>
        <v>24860.36</v>
      </c>
      <c r="K25" s="13">
        <f>'Data Sheet'!J26</f>
        <v>27239</v>
      </c>
      <c r="L25" s="13">
        <f>'Data Sheet'!K26</f>
        <v>23256</v>
      </c>
      <c r="M25" s="13">
        <f>IFERROR(SUM('Data Sheet'!H45:K45),0)</f>
        <v>22019</v>
      </c>
    </row>
    <row r="26" spans="2:15" outlineLevel="1" x14ac:dyDescent="0.3">
      <c r="B26" s="16" t="s">
        <v>69</v>
      </c>
      <c r="C26" s="16">
        <f>IFERROR(C25/C7,0)</f>
        <v>6.1201425695927715E-2</v>
      </c>
      <c r="D26" s="16">
        <f t="shared" ref="D26:M26" si="8">IFERROR(D25/D7,0)</f>
        <v>6.63903865924938E-2</v>
      </c>
      <c r="E26" s="16">
        <f t="shared" si="8"/>
        <v>7.3927472182518786E-2</v>
      </c>
      <c r="F26" s="16">
        <f t="shared" si="8"/>
        <v>7.8130605447998658E-2</v>
      </c>
      <c r="G26" s="16">
        <f t="shared" si="8"/>
        <v>8.206839774331566E-2</v>
      </c>
      <c r="H26" s="16">
        <f t="shared" si="8"/>
        <v>9.4264230933596482E-2</v>
      </c>
      <c r="I26" s="16">
        <f t="shared" si="8"/>
        <v>8.9191478279219347E-2</v>
      </c>
      <c r="J26" s="16">
        <f t="shared" si="8"/>
        <v>7.1857611147098821E-2</v>
      </c>
      <c r="K26" s="16">
        <f t="shared" si="8"/>
        <v>6.2760359065103591E-2</v>
      </c>
      <c r="L26" s="16">
        <f t="shared" si="8"/>
        <v>5.2891208678743216E-2</v>
      </c>
      <c r="M26" s="16">
        <f t="shared" si="8"/>
        <v>5.0275362583567747E-2</v>
      </c>
    </row>
    <row r="27" spans="2:15" outlineLevel="1" x14ac:dyDescent="0.3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2:15" outlineLevel="1" x14ac:dyDescent="0.3">
      <c r="B28" t="s">
        <v>67</v>
      </c>
      <c r="C28" s="13">
        <f>IFERROR(C19- (C22+C25), 0)</f>
        <v>45676.279999999955</v>
      </c>
      <c r="D28" s="13">
        <f t="shared" ref="D28:L28" si="9">IFERROR(D19- (D22+D25), 0)</f>
        <v>35778.580000000031</v>
      </c>
      <c r="E28" s="13">
        <f t="shared" si="9"/>
        <v>35522.389999999985</v>
      </c>
      <c r="F28" s="13">
        <f t="shared" si="9"/>
        <v>28558.970000000016</v>
      </c>
      <c r="G28" s="13">
        <f t="shared" si="9"/>
        <v>19756.909999999967</v>
      </c>
      <c r="H28" s="13">
        <f t="shared" si="9"/>
        <v>28292.030000000006</v>
      </c>
      <c r="I28" s="13">
        <f t="shared" si="9"/>
        <v>21381.059999999998</v>
      </c>
      <c r="J28" s="13">
        <f t="shared" si="9"/>
        <v>30384.659999999974</v>
      </c>
      <c r="K28" s="13">
        <f t="shared" si="9"/>
        <v>64981</v>
      </c>
      <c r="L28" s="13">
        <f t="shared" si="9"/>
        <v>74644</v>
      </c>
      <c r="M28" s="13">
        <f>IFERROR(M19- (M22+M25), 0)</f>
        <v>24438</v>
      </c>
      <c r="O28" s="134"/>
    </row>
    <row r="29" spans="2:15" outlineLevel="1" x14ac:dyDescent="0.3">
      <c r="B29" s="16" t="s">
        <v>68</v>
      </c>
      <c r="C29" s="16">
        <f>IFERROR(C28/C7,0)</f>
        <v>0.16728443893620684</v>
      </c>
      <c r="D29" s="16">
        <f t="shared" ref="D29:M29" si="10">IFERROR(D28/D7,0)</f>
        <v>0.13266434429343266</v>
      </c>
      <c r="E29" s="16">
        <f t="shared" si="10"/>
        <v>0.12183958675012295</v>
      </c>
      <c r="F29" s="16">
        <f t="shared" si="10"/>
        <v>9.4585418747665129E-2</v>
      </c>
      <c r="G29" s="16">
        <f t="shared" si="10"/>
        <v>7.5677265196492566E-2</v>
      </c>
      <c r="H29" s="16">
        <f t="shared" si="10"/>
        <v>0.1132611073691501</v>
      </c>
      <c r="I29" s="16">
        <f t="shared" si="10"/>
        <v>7.6784995648467413E-2</v>
      </c>
      <c r="J29" s="16">
        <f t="shared" si="10"/>
        <v>8.7825320434491122E-2</v>
      </c>
      <c r="K29" s="16">
        <f t="shared" si="10"/>
        <v>0.14972028680970287</v>
      </c>
      <c r="L29" s="16">
        <f t="shared" si="10"/>
        <v>0.1697631312614426</v>
      </c>
      <c r="M29" s="16">
        <f t="shared" si="10"/>
        <v>5.5798597157783215E-2</v>
      </c>
    </row>
    <row r="30" spans="2:15" outlineLevel="1" x14ac:dyDescent="0.3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2:15" outlineLevel="1" x14ac:dyDescent="0.3">
      <c r="B31" t="s">
        <v>8</v>
      </c>
      <c r="C31" s="17">
        <f>IFERROR('Data Sheet'!B29,0)</f>
        <v>3025.05</v>
      </c>
      <c r="D31" s="17">
        <f>IFERROR('Data Sheet'!C29,0)</f>
        <v>3251.23</v>
      </c>
      <c r="E31" s="17">
        <f>IFERROR('Data Sheet'!D29,0)</f>
        <v>4341.93</v>
      </c>
      <c r="F31" s="17">
        <f>IFERROR('Data Sheet'!E29,0)</f>
        <v>-2437.4499999999998</v>
      </c>
      <c r="G31" s="17">
        <f>IFERROR('Data Sheet'!F29,0)</f>
        <v>395.25</v>
      </c>
      <c r="H31" s="17">
        <f>IFERROR('Data Sheet'!G29,0)</f>
        <v>2541.86</v>
      </c>
      <c r="I31" s="17">
        <f>IFERROR('Data Sheet'!H29,0)</f>
        <v>4231.29</v>
      </c>
      <c r="J31" s="17">
        <f>IFERROR('Data Sheet'!I29,0)</f>
        <v>704.06</v>
      </c>
      <c r="K31" s="17">
        <f>IFERROR('Data Sheet'!J29,0)</f>
        <v>-4024</v>
      </c>
      <c r="L31" s="17">
        <f>IFERROR('Data Sheet'!K29,0)</f>
        <v>10502</v>
      </c>
      <c r="M31" s="17">
        <f>IFERROR(SUM('Data Sheet'!H48:K48),0)</f>
        <v>8943</v>
      </c>
    </row>
    <row r="32" spans="2:15" outlineLevel="1" x14ac:dyDescent="0.3">
      <c r="B32" s="16" t="s">
        <v>72</v>
      </c>
      <c r="C32" s="16">
        <f>C31/C28</f>
        <v>6.6228029077674527E-2</v>
      </c>
      <c r="D32" s="16">
        <f t="shared" ref="D32:M32" si="11">D31/D28</f>
        <v>9.0870850659808114E-2</v>
      </c>
      <c r="E32" s="16">
        <f t="shared" si="11"/>
        <v>0.12223079584453642</v>
      </c>
      <c r="F32" s="16">
        <f t="shared" si="11"/>
        <v>-8.5347965980565779E-2</v>
      </c>
      <c r="G32" s="16">
        <f t="shared" si="11"/>
        <v>2.0005658779637132E-2</v>
      </c>
      <c r="H32" s="16">
        <f t="shared" si="11"/>
        <v>8.9843676823472884E-2</v>
      </c>
      <c r="I32" s="16">
        <f t="shared" si="11"/>
        <v>0.19789898162205244</v>
      </c>
      <c r="J32" s="16">
        <f t="shared" si="11"/>
        <v>2.3171560912644752E-2</v>
      </c>
      <c r="K32" s="16">
        <f t="shared" si="11"/>
        <v>-6.192579369354119E-2</v>
      </c>
      <c r="L32" s="16">
        <f t="shared" si="11"/>
        <v>0.14069449654359359</v>
      </c>
      <c r="M32" s="16">
        <f t="shared" si="11"/>
        <v>0.36594647679842868</v>
      </c>
    </row>
    <row r="33" spans="1:13" outlineLevel="1" x14ac:dyDescent="0.3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outlineLevel="1" x14ac:dyDescent="0.3">
      <c r="B34" t="s">
        <v>73</v>
      </c>
      <c r="C34" s="17">
        <f>IFERROR(C28-C31,0)</f>
        <v>42651.229999999952</v>
      </c>
      <c r="D34" s="17">
        <f t="shared" ref="D34:M34" si="12">IFERROR(D28-D31,0)</f>
        <v>32527.350000000031</v>
      </c>
      <c r="E34" s="17">
        <f t="shared" si="12"/>
        <v>31180.459999999985</v>
      </c>
      <c r="F34" s="17">
        <f t="shared" si="12"/>
        <v>30996.420000000016</v>
      </c>
      <c r="G34" s="17">
        <f t="shared" si="12"/>
        <v>19361.659999999967</v>
      </c>
      <c r="H34" s="17">
        <f t="shared" si="12"/>
        <v>25750.170000000006</v>
      </c>
      <c r="I34" s="17">
        <f t="shared" si="12"/>
        <v>17149.769999999997</v>
      </c>
      <c r="J34" s="17">
        <f t="shared" si="12"/>
        <v>29680.599999999973</v>
      </c>
      <c r="K34" s="17">
        <f t="shared" si="12"/>
        <v>69005</v>
      </c>
      <c r="L34" s="17">
        <f t="shared" si="12"/>
        <v>64142</v>
      </c>
      <c r="M34" s="17">
        <f t="shared" si="12"/>
        <v>15495</v>
      </c>
    </row>
    <row r="35" spans="1:13" outlineLevel="1" x14ac:dyDescent="0.3">
      <c r="B35" s="16" t="s">
        <v>74</v>
      </c>
      <c r="C35" s="16">
        <f>C34/C7</f>
        <v>0.15620552025009726</v>
      </c>
      <c r="D35" s="16">
        <f t="shared" ref="D35:M35" si="13">D34/D7</f>
        <v>0.12060902247526277</v>
      </c>
      <c r="E35" s="16">
        <f t="shared" si="13"/>
        <v>0.10694703709628599</v>
      </c>
      <c r="F35" s="16">
        <f t="shared" si="13"/>
        <v>0.10265809184919843</v>
      </c>
      <c r="G35" s="16">
        <f t="shared" si="13"/>
        <v>7.4163291651595437E-2</v>
      </c>
      <c r="H35" s="16">
        <f t="shared" si="13"/>
        <v>0.10308531304200751</v>
      </c>
      <c r="I35" s="16">
        <f t="shared" si="13"/>
        <v>6.1589323205781976E-2</v>
      </c>
      <c r="J35" s="16">
        <f t="shared" si="13"/>
        <v>8.5790270672370758E-2</v>
      </c>
      <c r="K35" s="16">
        <f t="shared" si="13"/>
        <v>0.15899183440241835</v>
      </c>
      <c r="L35" s="16">
        <f t="shared" si="13"/>
        <v>0.14587839297694993</v>
      </c>
      <c r="M35" s="16">
        <f t="shared" si="13"/>
        <v>3.537929711759763E-2</v>
      </c>
    </row>
    <row r="36" spans="1:13" outlineLevel="1" x14ac:dyDescent="0.3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outlineLevel="1" x14ac:dyDescent="0.3">
      <c r="B37" t="s">
        <v>39</v>
      </c>
      <c r="C37">
        <f>IFERROR('Data Sheet'!B93,0)</f>
        <v>288.72000000000003</v>
      </c>
      <c r="D37">
        <f>IFERROR('Data Sheet'!C93,0)</f>
        <v>288.73</v>
      </c>
      <c r="E37">
        <f>IFERROR('Data Sheet'!D93,0)</f>
        <v>288.73</v>
      </c>
      <c r="F37">
        <f>IFERROR('Data Sheet'!E93,0)</f>
        <v>288.73</v>
      </c>
      <c r="G37">
        <f>IFERROR('Data Sheet'!F93,0)</f>
        <v>308.89999999999998</v>
      </c>
      <c r="H37">
        <f>IFERROR('Data Sheet'!G93,0)</f>
        <v>332.03</v>
      </c>
      <c r="I37">
        <f>IFERROR('Data Sheet'!H93,0)</f>
        <v>332.07</v>
      </c>
      <c r="J37">
        <f>IFERROR('Data Sheet'!I93,0)</f>
        <v>332.13</v>
      </c>
      <c r="K37">
        <f>IFERROR('Data Sheet'!J93,0)</f>
        <v>332.37</v>
      </c>
      <c r="L37">
        <f>IFERROR('Data Sheet'!K93,0)</f>
        <v>368.13</v>
      </c>
    </row>
    <row r="38" spans="1:13" outlineLevel="1" x14ac:dyDescent="0.3">
      <c r="B38" t="s">
        <v>75</v>
      </c>
      <c r="C38" s="18">
        <f t="shared" ref="C38:L38" si="14">C34/C37</f>
        <v>147.72523552230516</v>
      </c>
      <c r="D38" s="18">
        <f t="shared" si="14"/>
        <v>112.65663422574734</v>
      </c>
      <c r="E38" s="18">
        <f t="shared" si="14"/>
        <v>107.99175700481413</v>
      </c>
      <c r="F38" s="18">
        <f t="shared" si="14"/>
        <v>107.35434488968939</v>
      </c>
      <c r="G38" s="18">
        <f t="shared" si="14"/>
        <v>62.679378439624372</v>
      </c>
      <c r="H38" s="18">
        <f t="shared" si="14"/>
        <v>77.553745143511151</v>
      </c>
      <c r="I38" s="18">
        <f t="shared" si="14"/>
        <v>51.645044719486847</v>
      </c>
      <c r="J38" s="18">
        <f t="shared" si="14"/>
        <v>89.36440550386888</v>
      </c>
      <c r="K38" s="18">
        <f t="shared" si="14"/>
        <v>207.61500737130305</v>
      </c>
      <c r="L38" s="18">
        <f t="shared" si="14"/>
        <v>174.2373618015375</v>
      </c>
      <c r="M38" s="18"/>
    </row>
    <row r="39" spans="1:13" outlineLevel="1" x14ac:dyDescent="0.3">
      <c r="B39" s="16" t="s">
        <v>76</v>
      </c>
      <c r="C39" s="16"/>
      <c r="D39" s="16">
        <f t="shared" ref="D39:M39" si="15">IFERROR(D38/C38-1,0)</f>
        <v>-0.2373907286224145</v>
      </c>
      <c r="E39" s="16">
        <f t="shared" si="15"/>
        <v>-4.1407922871062208E-2</v>
      </c>
      <c r="F39" s="16">
        <f t="shared" si="15"/>
        <v>-5.9024145249931825E-3</v>
      </c>
      <c r="G39" s="16">
        <f t="shared" si="15"/>
        <v>-0.41614493103162442</v>
      </c>
      <c r="H39" s="16">
        <f t="shared" si="15"/>
        <v>0.2373087780092531</v>
      </c>
      <c r="I39" s="16">
        <f t="shared" si="15"/>
        <v>-0.33407413627905314</v>
      </c>
      <c r="J39" s="16">
        <f t="shared" si="15"/>
        <v>0.73035779113479338</v>
      </c>
      <c r="K39" s="16">
        <f t="shared" si="15"/>
        <v>1.3232405139461787</v>
      </c>
      <c r="L39" s="16">
        <f t="shared" si="15"/>
        <v>-0.16076701772368629</v>
      </c>
      <c r="M39" s="16">
        <f t="shared" si="15"/>
        <v>-1</v>
      </c>
    </row>
    <row r="40" spans="1:13" outlineLevel="1" x14ac:dyDescent="0.3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outlineLevel="1" x14ac:dyDescent="0.3">
      <c r="B41" t="s">
        <v>77</v>
      </c>
      <c r="C41" s="17">
        <f>IFERROR('Data Sheet'!B31/'Financials&gt;'!C37,0)</f>
        <v>0.23524522028262676</v>
      </c>
      <c r="D41" s="17">
        <f>IFERROR('Data Sheet'!C31/'Financials&gt;'!D37,0)</f>
        <v>0</v>
      </c>
      <c r="E41" s="17">
        <f>IFERROR('Data Sheet'!D31/'Financials&gt;'!E37,0)</f>
        <v>0</v>
      </c>
      <c r="F41" s="17">
        <f>IFERROR('Data Sheet'!E31/'Financials&gt;'!F37,0)</f>
        <v>0</v>
      </c>
      <c r="G41" s="17">
        <f>IFERROR('Data Sheet'!F31/'Financials&gt;'!G37,0)</f>
        <v>0</v>
      </c>
      <c r="H41" s="17">
        <f>IFERROR('Data Sheet'!G31/'Financials&gt;'!H37,0)</f>
        <v>0</v>
      </c>
      <c r="I41" s="17">
        <f>IFERROR('Data Sheet'!H31/'Financials&gt;'!I37,0)</f>
        <v>0</v>
      </c>
      <c r="J41" s="17">
        <f>IFERROR('Data Sheet'!I31/'Financials&gt;'!J37,0)</f>
        <v>2.3063860536536898</v>
      </c>
      <c r="K41" s="17">
        <f>IFERROR('Data Sheet'!J31/'Financials&gt;'!K37,0)</f>
        <v>6.9230074916508713</v>
      </c>
      <c r="L41" s="17">
        <f>IFERROR('Data Sheet'!K31/'Financials&gt;'!L37,0)</f>
        <v>5.9978811832776469</v>
      </c>
      <c r="M41" s="17">
        <f>IFERROR('Data Sheet'!L31/'Financials&gt;'!M37,0)</f>
        <v>0</v>
      </c>
    </row>
    <row r="42" spans="1:13" outlineLevel="1" x14ac:dyDescent="0.3">
      <c r="B42" s="16" t="s">
        <v>78</v>
      </c>
      <c r="C42" s="16">
        <f>IFERROR(C41/C38,0)</f>
        <v>1.5924511438474363E-3</v>
      </c>
      <c r="D42" s="16">
        <f t="shared" ref="D42:M42" si="16">IFERROR(D41/D38,0)</f>
        <v>0</v>
      </c>
      <c r="E42" s="16">
        <f t="shared" si="16"/>
        <v>0</v>
      </c>
      <c r="F42" s="16">
        <f t="shared" si="16"/>
        <v>0</v>
      </c>
      <c r="G42" s="16">
        <f t="shared" si="16"/>
        <v>0</v>
      </c>
      <c r="H42" s="16">
        <f t="shared" si="16"/>
        <v>0</v>
      </c>
      <c r="I42" s="16">
        <f t="shared" si="16"/>
        <v>0</v>
      </c>
      <c r="J42" s="16">
        <f t="shared" si="16"/>
        <v>2.5808777450590646E-2</v>
      </c>
      <c r="K42" s="16">
        <f t="shared" si="16"/>
        <v>3.3345409752916458E-2</v>
      </c>
      <c r="L42" s="16">
        <f t="shared" si="16"/>
        <v>3.4423622587384239E-2</v>
      </c>
      <c r="M42" s="16">
        <f t="shared" si="16"/>
        <v>0</v>
      </c>
    </row>
    <row r="43" spans="1:13" outlineLevel="1" x14ac:dyDescent="0.3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outlineLevel="1" x14ac:dyDescent="0.3">
      <c r="B44" t="s">
        <v>79</v>
      </c>
      <c r="C44" s="19">
        <f t="shared" ref="C44:M44" si="17">IFERROR(IF(C38&gt;C41,1-C42,0),0)</f>
        <v>0.99840754885615257</v>
      </c>
      <c r="D44" s="19">
        <f t="shared" si="17"/>
        <v>1</v>
      </c>
      <c r="E44" s="19">
        <f t="shared" si="17"/>
        <v>1</v>
      </c>
      <c r="F44" s="19">
        <f t="shared" si="17"/>
        <v>1</v>
      </c>
      <c r="G44" s="19">
        <f t="shared" si="17"/>
        <v>1</v>
      </c>
      <c r="H44" s="19">
        <f t="shared" si="17"/>
        <v>1</v>
      </c>
      <c r="I44" s="19">
        <f t="shared" si="17"/>
        <v>1</v>
      </c>
      <c r="J44" s="19">
        <f t="shared" si="17"/>
        <v>0.97419122254940937</v>
      </c>
      <c r="K44" s="19">
        <f t="shared" si="17"/>
        <v>0.96665459024708356</v>
      </c>
      <c r="L44" s="19">
        <f t="shared" si="17"/>
        <v>0.96557637741261582</v>
      </c>
      <c r="M44" s="19">
        <f t="shared" si="17"/>
        <v>0</v>
      </c>
    </row>
    <row r="46" spans="1:13" x14ac:dyDescent="0.3">
      <c r="A46" t="s">
        <v>122</v>
      </c>
      <c r="B46" s="20" t="s">
        <v>80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5"/>
    </row>
    <row r="47" spans="1:13" outlineLevel="1" x14ac:dyDescent="0.3"/>
    <row r="48" spans="1:13" outlineLevel="1" x14ac:dyDescent="0.3">
      <c r="B48" s="3" t="s">
        <v>11</v>
      </c>
      <c r="C48" s="17">
        <f>IFERROR('Data Sheet'!B57,0)</f>
        <v>679.18</v>
      </c>
      <c r="D48" s="17">
        <f>IFERROR('Data Sheet'!C57,0)</f>
        <v>679.22</v>
      </c>
      <c r="E48" s="17">
        <f>IFERROR('Data Sheet'!D57,0)</f>
        <v>679.22</v>
      </c>
      <c r="F48" s="17">
        <f>IFERROR('Data Sheet'!E57,0)</f>
        <v>679.22</v>
      </c>
      <c r="G48" s="17">
        <f>IFERROR('Data Sheet'!F57,0)</f>
        <v>719.54</v>
      </c>
      <c r="H48" s="17">
        <f>IFERROR('Data Sheet'!G57,0)</f>
        <v>765.81</v>
      </c>
      <c r="I48" s="17">
        <f>IFERROR('Data Sheet'!H57,0)</f>
        <v>765.88</v>
      </c>
      <c r="J48" s="17">
        <f>IFERROR('Data Sheet'!I57,0)</f>
        <v>766.02</v>
      </c>
      <c r="K48" s="17">
        <f>IFERROR('Data Sheet'!J57,0)</f>
        <v>767</v>
      </c>
      <c r="L48" s="17">
        <f>IFERROR('Data Sheet'!K57,0)</f>
        <v>736</v>
      </c>
    </row>
    <row r="49" spans="2:13" outlineLevel="1" x14ac:dyDescent="0.3">
      <c r="B49" s="3" t="s">
        <v>12</v>
      </c>
      <c r="C49" s="17">
        <f>IFERROR('Data Sheet'!B58,0)</f>
        <v>78273.23</v>
      </c>
      <c r="D49" s="17">
        <f>IFERROR('Data Sheet'!C58,0)</f>
        <v>57382.67</v>
      </c>
      <c r="E49" s="17">
        <f>IFERROR('Data Sheet'!D58,0)</f>
        <v>94748.69</v>
      </c>
      <c r="F49" s="17">
        <f>IFERROR('Data Sheet'!E58,0)</f>
        <v>59500.34</v>
      </c>
      <c r="G49" s="17">
        <f>IFERROR('Data Sheet'!F58,0)</f>
        <v>62358.99</v>
      </c>
      <c r="H49" s="17">
        <f>IFERROR('Data Sheet'!G58,0)</f>
        <v>54480.91</v>
      </c>
      <c r="I49" s="17">
        <f>IFERROR('Data Sheet'!H58,0)</f>
        <v>43795.360000000001</v>
      </c>
      <c r="J49" s="17">
        <f>IFERROR('Data Sheet'!I58,0)</f>
        <v>44555.77</v>
      </c>
      <c r="K49" s="17">
        <f>IFERROR('Data Sheet'!J58,0)</f>
        <v>84151</v>
      </c>
      <c r="L49" s="17">
        <f>IFERROR('Data Sheet'!K58,0)</f>
        <v>115408</v>
      </c>
    </row>
    <row r="50" spans="2:13" outlineLevel="1" x14ac:dyDescent="0.3">
      <c r="B50" s="3" t="s">
        <v>36</v>
      </c>
      <c r="C50" s="17">
        <f>IFERROR('Data Sheet'!B59,0)</f>
        <v>69359.960000000006</v>
      </c>
      <c r="D50" s="17">
        <f>IFERROR('Data Sheet'!C59,0)</f>
        <v>78603.98</v>
      </c>
      <c r="E50" s="17">
        <f>IFERROR('Data Sheet'!D59,0)</f>
        <v>88950.47</v>
      </c>
      <c r="F50" s="17">
        <f>IFERROR('Data Sheet'!E59,0)</f>
        <v>106175.34</v>
      </c>
      <c r="G50" s="17">
        <f>IFERROR('Data Sheet'!F59,0)</f>
        <v>124787.64</v>
      </c>
      <c r="H50" s="17">
        <f>IFERROR('Data Sheet'!G59,0)</f>
        <v>142130.57</v>
      </c>
      <c r="I50" s="17">
        <f>IFERROR('Data Sheet'!H59,0)</f>
        <v>146449.03</v>
      </c>
      <c r="J50" s="17">
        <f>IFERROR('Data Sheet'!I59,0)</f>
        <v>134113.44</v>
      </c>
      <c r="K50" s="17">
        <f>IFERROR('Data Sheet'!J59,0)</f>
        <v>107264</v>
      </c>
      <c r="L50" s="17">
        <f>IFERROR('Data Sheet'!K59,0)</f>
        <v>71540</v>
      </c>
    </row>
    <row r="51" spans="2:13" outlineLevel="1" x14ac:dyDescent="0.3">
      <c r="B51" s="3" t="s">
        <v>37</v>
      </c>
      <c r="C51" s="17">
        <f>IFERROR('Data Sheet'!B60,0)</f>
        <v>114871.75</v>
      </c>
      <c r="D51" s="17">
        <f>IFERROR('Data Sheet'!C60,0)</f>
        <v>135914.49</v>
      </c>
      <c r="E51" s="17">
        <f>IFERROR('Data Sheet'!D60,0)</f>
        <v>142813.43</v>
      </c>
      <c r="F51" s="17">
        <f>IFERROR('Data Sheet'!E60,0)</f>
        <v>139348.59</v>
      </c>
      <c r="G51" s="17">
        <f>IFERROR('Data Sheet'!F60,0)</f>
        <v>132313.22</v>
      </c>
      <c r="H51" s="17">
        <f>IFERROR('Data Sheet'!G60,0)</f>
        <v>144192.62</v>
      </c>
      <c r="I51" s="17">
        <f>IFERROR('Data Sheet'!H60,0)</f>
        <v>138051.22</v>
      </c>
      <c r="J51" s="17">
        <f>IFERROR('Data Sheet'!I60,0)</f>
        <v>155239.20000000001</v>
      </c>
      <c r="K51" s="17">
        <f>IFERROR('Data Sheet'!J60,0)</f>
        <v>177339</v>
      </c>
      <c r="L51" s="17">
        <f>IFERROR('Data Sheet'!K60,0)</f>
        <v>189289</v>
      </c>
    </row>
    <row r="52" spans="2:13" outlineLevel="1" x14ac:dyDescent="0.3">
      <c r="B52" s="1" t="s">
        <v>81</v>
      </c>
      <c r="C52" s="23">
        <f>IFERROR('Data Sheet'!B61,0)</f>
        <v>263184.12</v>
      </c>
      <c r="D52" s="23">
        <f>IFERROR('Data Sheet'!C61,0)</f>
        <v>272580.36</v>
      </c>
      <c r="E52" s="23">
        <f>IFERROR('Data Sheet'!D61,0)</f>
        <v>327191.81</v>
      </c>
      <c r="F52" s="23">
        <f>IFERROR('Data Sheet'!E61,0)</f>
        <v>305703.49</v>
      </c>
      <c r="G52" s="23">
        <f>IFERROR('Data Sheet'!F61,0)</f>
        <v>320179.39</v>
      </c>
      <c r="H52" s="23">
        <f>IFERROR('Data Sheet'!G61,0)</f>
        <v>341569.91</v>
      </c>
      <c r="I52" s="23">
        <f>IFERROR('Data Sheet'!H61,0)</f>
        <v>329061.49</v>
      </c>
      <c r="J52" s="23">
        <f>IFERROR('Data Sheet'!I61,0)</f>
        <v>334674.43</v>
      </c>
      <c r="K52" s="23">
        <f>IFERROR('Data Sheet'!J61,0)</f>
        <v>369521</v>
      </c>
      <c r="L52" s="23">
        <f>IFERROR('Data Sheet'!K61,0)</f>
        <v>376973</v>
      </c>
      <c r="M52" s="8"/>
    </row>
    <row r="53" spans="2:13" outlineLevel="1" x14ac:dyDescent="0.3">
      <c r="B53" s="46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2:13" outlineLevel="1" x14ac:dyDescent="0.3">
      <c r="B54" s="3" t="s">
        <v>85</v>
      </c>
      <c r="C54" s="17">
        <f>IFERROR('Data Sheet'!B62,0)</f>
        <v>107231.76</v>
      </c>
      <c r="D54" s="17">
        <f>IFERROR('Data Sheet'!C62,0)</f>
        <v>95944.08</v>
      </c>
      <c r="E54" s="17">
        <f>IFERROR('Data Sheet'!D62,0)</f>
        <v>121413.86</v>
      </c>
      <c r="F54" s="17">
        <f>IFERROR('Data Sheet'!E62,0)</f>
        <v>111234.47</v>
      </c>
      <c r="G54" s="17">
        <f>IFERROR('Data Sheet'!F62,0)</f>
        <v>127107.14</v>
      </c>
      <c r="H54" s="17">
        <f>IFERROR('Data Sheet'!G62,0)</f>
        <v>138707.60999999999</v>
      </c>
      <c r="I54" s="17">
        <f>IFERROR('Data Sheet'!H62,0)</f>
        <v>138855.45000000001</v>
      </c>
      <c r="J54" s="17">
        <f>IFERROR('Data Sheet'!I62,0)</f>
        <v>132079.76</v>
      </c>
      <c r="K54" s="17">
        <f>IFERROR('Data Sheet'!J62,0)</f>
        <v>121285</v>
      </c>
      <c r="L54" s="17">
        <f>IFERROR('Data Sheet'!K62,0)</f>
        <v>115697</v>
      </c>
    </row>
    <row r="55" spans="2:13" outlineLevel="1" x14ac:dyDescent="0.3">
      <c r="B55" s="3" t="s">
        <v>15</v>
      </c>
      <c r="C55" s="17">
        <f>IFERROR('Data Sheet'!B63,0)</f>
        <v>25918.94</v>
      </c>
      <c r="D55" s="17">
        <f>IFERROR('Data Sheet'!C63,0)</f>
        <v>33698.839999999997</v>
      </c>
      <c r="E55" s="17">
        <f>IFERROR('Data Sheet'!D63,0)</f>
        <v>40033.5</v>
      </c>
      <c r="F55" s="17">
        <f>IFERROR('Data Sheet'!E63,0)</f>
        <v>31883.84</v>
      </c>
      <c r="G55" s="17">
        <f>IFERROR('Data Sheet'!F63,0)</f>
        <v>35622.29</v>
      </c>
      <c r="H55" s="17">
        <f>IFERROR('Data Sheet'!G63,0)</f>
        <v>20963.93</v>
      </c>
      <c r="I55" s="17">
        <f>IFERROR('Data Sheet'!H63,0)</f>
        <v>10251.09</v>
      </c>
      <c r="J55" s="17">
        <f>IFERROR('Data Sheet'!I63,0)</f>
        <v>14274.5</v>
      </c>
      <c r="K55" s="17">
        <f>IFERROR('Data Sheet'!J63,0)</f>
        <v>35698</v>
      </c>
      <c r="L55" s="17">
        <f>IFERROR('Data Sheet'!K63,0)</f>
        <v>65806</v>
      </c>
    </row>
    <row r="56" spans="2:13" outlineLevel="1" x14ac:dyDescent="0.3">
      <c r="B56" s="3" t="s">
        <v>16</v>
      </c>
      <c r="C56" s="17">
        <f>IFERROR('Data Sheet'!B64,0)</f>
        <v>23767.02</v>
      </c>
      <c r="D56" s="17">
        <f>IFERROR('Data Sheet'!C64,0)</f>
        <v>20337.919999999998</v>
      </c>
      <c r="E56" s="17">
        <f>IFERROR('Data Sheet'!D64,0)</f>
        <v>20812.75</v>
      </c>
      <c r="F56" s="17">
        <f>IFERROR('Data Sheet'!E64,0)</f>
        <v>15770.72</v>
      </c>
      <c r="G56" s="17">
        <f>IFERROR('Data Sheet'!F64,0)</f>
        <v>16308.48</v>
      </c>
      <c r="H56" s="17">
        <f>IFERROR('Data Sheet'!G64,0)</f>
        <v>24620.28</v>
      </c>
      <c r="I56" s="17">
        <f>IFERROR('Data Sheet'!H64,0)</f>
        <v>29379.53</v>
      </c>
      <c r="J56" s="17">
        <f>IFERROR('Data Sheet'!I64,0)</f>
        <v>26379.16</v>
      </c>
      <c r="K56" s="17">
        <f>IFERROR('Data Sheet'!J64,0)</f>
        <v>22971</v>
      </c>
      <c r="L56" s="17">
        <f>IFERROR('Data Sheet'!K64,0)</f>
        <v>35656</v>
      </c>
    </row>
    <row r="57" spans="2:13" outlineLevel="1" x14ac:dyDescent="0.3">
      <c r="B57" s="3" t="s">
        <v>38</v>
      </c>
      <c r="C57" s="17">
        <f>IFERROR('Data Sheet'!B65 - SUM(C60:C62),0)</f>
        <v>29579.359999999986</v>
      </c>
      <c r="D57" s="17">
        <f>IFERROR('Data Sheet'!C65 - SUM(D60:D62),0)</f>
        <v>37360.780000000013</v>
      </c>
      <c r="E57" s="17">
        <f>IFERROR('Data Sheet'!D65 - SUM(E60:E62),0)</f>
        <v>48286.860000000015</v>
      </c>
      <c r="F57" s="17">
        <f>IFERROR('Data Sheet'!E65 - SUM(F60:F62),0)</f>
        <v>56155.739999999991</v>
      </c>
      <c r="G57" s="17">
        <f>IFERROR('Data Sheet'!F65 - SUM(G60:G62),0)</f>
        <v>58784.94</v>
      </c>
      <c r="H57" s="17">
        <f>IFERROR('Data Sheet'!G65 - SUM(H60:H62),0)</f>
        <v>61717.959999999992</v>
      </c>
      <c r="I57" s="17">
        <f>IFERROR('Data Sheet'!H65 - SUM(I60:I62),0)</f>
        <v>62223.770000000019</v>
      </c>
      <c r="J57" s="17">
        <f>IFERROR('Data Sheet'!I65 - SUM(J60:J62),0)</f>
        <v>68432.090000000011</v>
      </c>
      <c r="K57" s="17">
        <f>IFERROR('Data Sheet'!J65 - SUM(K60:K62),0)</f>
        <v>79020</v>
      </c>
      <c r="L57" s="17">
        <f>IFERROR('Data Sheet'!K65 - SUM(L60:L62),0)</f>
        <v>58463</v>
      </c>
    </row>
    <row r="58" spans="2:13" outlineLevel="1" x14ac:dyDescent="0.3">
      <c r="B58" s="1" t="s">
        <v>82</v>
      </c>
      <c r="C58" s="28">
        <f>SUM(C54:C57)</f>
        <v>186497.07999999996</v>
      </c>
      <c r="D58" s="28">
        <f>SUM(D54:D57)</f>
        <v>187341.62</v>
      </c>
      <c r="E58" s="28">
        <f t="shared" ref="E58:L58" si="18">SUM(E54:E57)</f>
        <v>230546.97</v>
      </c>
      <c r="F58" s="28">
        <f t="shared" si="18"/>
        <v>215044.77</v>
      </c>
      <c r="G58" s="28">
        <f t="shared" si="18"/>
        <v>237822.85</v>
      </c>
      <c r="H58" s="28">
        <f t="shared" si="18"/>
        <v>246009.77999999997</v>
      </c>
      <c r="I58" s="28">
        <f t="shared" si="18"/>
        <v>240709.84000000003</v>
      </c>
      <c r="J58" s="28">
        <f>SUM(J54:J57)</f>
        <v>241165.51</v>
      </c>
      <c r="K58" s="28">
        <f t="shared" si="18"/>
        <v>258974</v>
      </c>
      <c r="L58" s="28">
        <f t="shared" si="18"/>
        <v>275622</v>
      </c>
    </row>
    <row r="59" spans="2:13" outlineLevel="1" x14ac:dyDescent="0.3">
      <c r="B59" s="46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2:13" outlineLevel="1" x14ac:dyDescent="0.3">
      <c r="B60" s="3" t="s">
        <v>43</v>
      </c>
      <c r="C60" s="17">
        <f>IFERROR('Data Sheet'!B67,0)</f>
        <v>13570.91</v>
      </c>
      <c r="D60" s="17">
        <f>IFERROR('Data Sheet'!C67,0)</f>
        <v>14075.55</v>
      </c>
      <c r="E60" s="17">
        <f>IFERROR('Data Sheet'!D67,0)</f>
        <v>19893.3</v>
      </c>
      <c r="F60" s="17">
        <f>IFERROR('Data Sheet'!E67,0)</f>
        <v>18996.169999999998</v>
      </c>
      <c r="G60" s="17">
        <f>IFERROR('Data Sheet'!F67,0)</f>
        <v>11172.69</v>
      </c>
      <c r="H60" s="17">
        <f>IFERROR('Data Sheet'!G67,0)</f>
        <v>12679.08</v>
      </c>
      <c r="I60" s="17">
        <f>IFERROR('Data Sheet'!H67,0)</f>
        <v>12442.12</v>
      </c>
      <c r="J60" s="17">
        <f>IFERROR('Data Sheet'!I67,0)</f>
        <v>15737.97</v>
      </c>
      <c r="K60" s="17">
        <f>IFERROR('Data Sheet'!J67,0)</f>
        <v>16952</v>
      </c>
      <c r="L60" s="17">
        <f>IFERROR('Data Sheet'!K67,0)</f>
        <v>13248</v>
      </c>
    </row>
    <row r="61" spans="2:13" outlineLevel="1" x14ac:dyDescent="0.3">
      <c r="B61" s="3" t="s">
        <v>30</v>
      </c>
      <c r="C61" s="17">
        <f>IFERROR('Data Sheet'!B68,0)</f>
        <v>32655.73</v>
      </c>
      <c r="D61" s="17">
        <f>IFERROR('Data Sheet'!C68,0)</f>
        <v>35085.31</v>
      </c>
      <c r="E61" s="17">
        <f>IFERROR('Data Sheet'!D68,0)</f>
        <v>42137.63</v>
      </c>
      <c r="F61" s="17">
        <f>IFERROR('Data Sheet'!E68,0)</f>
        <v>39013.730000000003</v>
      </c>
      <c r="G61" s="17">
        <f>IFERROR('Data Sheet'!F68,0)</f>
        <v>37456.879999999997</v>
      </c>
      <c r="H61" s="17">
        <f>IFERROR('Data Sheet'!G68,0)</f>
        <v>36088.589999999997</v>
      </c>
      <c r="I61" s="17">
        <f>IFERROR('Data Sheet'!H68,0)</f>
        <v>35240.339999999997</v>
      </c>
      <c r="J61" s="17">
        <f>IFERROR('Data Sheet'!I68,0)</f>
        <v>40755.39</v>
      </c>
      <c r="K61" s="17">
        <f>IFERROR('Data Sheet'!J68,0)</f>
        <v>47788</v>
      </c>
      <c r="L61" s="17">
        <f>IFERROR('Data Sheet'!K68,0)</f>
        <v>47269</v>
      </c>
    </row>
    <row r="62" spans="2:13" outlineLevel="1" x14ac:dyDescent="0.3">
      <c r="B62" s="2" t="s">
        <v>52</v>
      </c>
      <c r="C62" s="17">
        <f>IFERROR('Data Sheet'!B69,0)</f>
        <v>30460.400000000001</v>
      </c>
      <c r="D62" s="17">
        <f>IFERROR('Data Sheet'!C69,0)</f>
        <v>36077.879999999997</v>
      </c>
      <c r="E62" s="17">
        <f>IFERROR('Data Sheet'!D69,0)</f>
        <v>34613.910000000003</v>
      </c>
      <c r="F62" s="17">
        <f>IFERROR('Data Sheet'!E69,0)</f>
        <v>32648.82</v>
      </c>
      <c r="G62" s="17">
        <f>IFERROR('Data Sheet'!F69,0)</f>
        <v>33726.97</v>
      </c>
      <c r="H62" s="17">
        <f>IFERROR('Data Sheet'!G69,0)</f>
        <v>46792.46</v>
      </c>
      <c r="I62" s="17">
        <f>IFERROR('Data Sheet'!H69,0)</f>
        <v>40669.19</v>
      </c>
      <c r="J62" s="17">
        <f>IFERROR('Data Sheet'!I69,0)</f>
        <v>37015.56</v>
      </c>
      <c r="K62" s="17">
        <f>IFERROR('Data Sheet'!J69,0)</f>
        <v>45807</v>
      </c>
      <c r="L62" s="17">
        <f>IFERROR('Data Sheet'!K69,0)</f>
        <v>40834</v>
      </c>
    </row>
    <row r="63" spans="2:13" outlineLevel="1" x14ac:dyDescent="0.3">
      <c r="B63" s="22" t="s">
        <v>83</v>
      </c>
      <c r="C63" s="23">
        <f>SUM(C60:C62)</f>
        <v>76687.040000000008</v>
      </c>
      <c r="D63" s="23">
        <f t="shared" ref="D63:L63" si="19">SUM(D60:D62)</f>
        <v>85238.739999999991</v>
      </c>
      <c r="E63" s="23">
        <f t="shared" si="19"/>
        <v>96644.84</v>
      </c>
      <c r="F63" s="23">
        <f t="shared" si="19"/>
        <v>90658.72</v>
      </c>
      <c r="G63" s="23">
        <f t="shared" si="19"/>
        <v>82356.540000000008</v>
      </c>
      <c r="H63" s="23">
        <f t="shared" si="19"/>
        <v>95560.13</v>
      </c>
      <c r="I63" s="23">
        <f t="shared" si="19"/>
        <v>88351.65</v>
      </c>
      <c r="J63" s="23">
        <f>SUM(J60:J62)</f>
        <v>93508.92</v>
      </c>
      <c r="K63" s="23">
        <f t="shared" si="19"/>
        <v>110547</v>
      </c>
      <c r="L63" s="23">
        <f t="shared" si="19"/>
        <v>101351</v>
      </c>
    </row>
    <row r="64" spans="2:13" outlineLevel="1" x14ac:dyDescent="0.3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 outlineLevel="1" x14ac:dyDescent="0.3">
      <c r="B65" s="22" t="s">
        <v>84</v>
      </c>
      <c r="C65" s="23">
        <f>IFERROR(SUM(C58,C63),0)</f>
        <v>263184.12</v>
      </c>
      <c r="D65" s="23">
        <f>IFERROR(SUM(D58,D63),0)</f>
        <v>272580.36</v>
      </c>
      <c r="E65" s="23">
        <f t="shared" ref="E65:L65" si="20">IFERROR(SUM(E58,E63),0)</f>
        <v>327191.81</v>
      </c>
      <c r="F65" s="23">
        <f t="shared" si="20"/>
        <v>305703.49</v>
      </c>
      <c r="G65" s="23">
        <f t="shared" si="20"/>
        <v>320179.39</v>
      </c>
      <c r="H65" s="23">
        <f t="shared" si="20"/>
        <v>341569.91</v>
      </c>
      <c r="I65" s="23">
        <f t="shared" si="20"/>
        <v>329061.49</v>
      </c>
      <c r="J65" s="23">
        <f t="shared" si="20"/>
        <v>334674.43</v>
      </c>
      <c r="K65" s="23">
        <f t="shared" si="20"/>
        <v>369521</v>
      </c>
      <c r="L65" s="23">
        <f t="shared" si="20"/>
        <v>376973</v>
      </c>
    </row>
    <row r="66" spans="1:12" outlineLevel="1" x14ac:dyDescent="0.3"/>
    <row r="67" spans="1:12" outlineLevel="1" x14ac:dyDescent="0.3">
      <c r="B67" s="47" t="s">
        <v>86</v>
      </c>
      <c r="C67" s="42" t="b">
        <f>C52=C65</f>
        <v>1</v>
      </c>
      <c r="D67" s="42" t="b">
        <f t="shared" ref="D67:L67" si="21">D52=D65</f>
        <v>1</v>
      </c>
      <c r="E67" s="42" t="b">
        <f t="shared" si="21"/>
        <v>1</v>
      </c>
      <c r="F67" s="42" t="b">
        <f t="shared" si="21"/>
        <v>1</v>
      </c>
      <c r="G67" s="42" t="b">
        <f t="shared" si="21"/>
        <v>1</v>
      </c>
      <c r="H67" s="42" t="b">
        <f t="shared" si="21"/>
        <v>1</v>
      </c>
      <c r="I67" s="42" t="b">
        <f t="shared" si="21"/>
        <v>1</v>
      </c>
      <c r="J67" s="42" t="b">
        <f t="shared" si="21"/>
        <v>1</v>
      </c>
      <c r="K67" s="42" t="b">
        <f t="shared" si="21"/>
        <v>1</v>
      </c>
      <c r="L67" s="42" t="b">
        <f t="shared" si="21"/>
        <v>1</v>
      </c>
    </row>
    <row r="69" spans="1:12" x14ac:dyDescent="0.3">
      <c r="A69" t="s">
        <v>122</v>
      </c>
      <c r="B69" s="20" t="s">
        <v>115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1:12" s="25" customFormat="1" x14ac:dyDescent="0.3">
      <c r="B70" s="24"/>
    </row>
    <row r="71" spans="1:12" s="25" customFormat="1" outlineLevel="1" x14ac:dyDescent="0.3">
      <c r="B71" s="30" t="s">
        <v>116</v>
      </c>
    </row>
    <row r="72" spans="1:12" outlineLevel="1" x14ac:dyDescent="0.3">
      <c r="B72" t="s">
        <v>88</v>
      </c>
      <c r="C72" s="17">
        <f>'Cash Flow Data'!E4</f>
        <v>38626</v>
      </c>
      <c r="D72" s="17">
        <f>'Cash Flow Data'!F4</f>
        <v>28840</v>
      </c>
      <c r="E72" s="17">
        <f>'Cash Flow Data'!G4</f>
        <v>33312</v>
      </c>
      <c r="F72" s="17">
        <f>'Cash Flow Data'!H4</f>
        <v>28771</v>
      </c>
      <c r="G72" s="17">
        <f>'Cash Flow Data'!I4</f>
        <v>23352</v>
      </c>
      <c r="H72" s="17">
        <f>'Cash Flow Data'!J4</f>
        <v>31198</v>
      </c>
      <c r="I72" s="17">
        <f>'Cash Flow Data'!K4</f>
        <v>26943</v>
      </c>
      <c r="J72" s="17">
        <f>'Cash Flow Data'!L4</f>
        <v>41694</v>
      </c>
      <c r="K72" s="17">
        <f>'Cash Flow Data'!M4</f>
        <v>65106</v>
      </c>
      <c r="L72" s="17">
        <f>'Cash Flow Data'!N4</f>
        <v>58937</v>
      </c>
    </row>
    <row r="73" spans="1:12" outlineLevel="1" x14ac:dyDescent="0.3">
      <c r="B73" t="s">
        <v>43</v>
      </c>
      <c r="C73" s="17">
        <f>'Cash Flow Data'!E5</f>
        <v>-2223</v>
      </c>
      <c r="D73" s="17">
        <f>'Cash Flow Data'!F5</f>
        <v>-4152</v>
      </c>
      <c r="E73" s="17">
        <f>'Cash Flow Data'!G5</f>
        <v>-10688</v>
      </c>
      <c r="F73" s="17">
        <f>'Cash Flow Data'!H5</f>
        <v>-9109</v>
      </c>
      <c r="G73" s="17">
        <f>'Cash Flow Data'!I5</f>
        <v>9950</v>
      </c>
      <c r="H73" s="17">
        <f>'Cash Flow Data'!J5</f>
        <v>-5505</v>
      </c>
      <c r="I73" s="17">
        <f>'Cash Flow Data'!K5</f>
        <v>185</v>
      </c>
      <c r="J73" s="17">
        <f>'Cash Flow Data'!L5</f>
        <v>-2213</v>
      </c>
      <c r="K73" s="17">
        <f>'Cash Flow Data'!M5</f>
        <v>-1876</v>
      </c>
      <c r="L73" s="17">
        <f>'Cash Flow Data'!N5</f>
        <v>3573</v>
      </c>
    </row>
    <row r="74" spans="1:12" outlineLevel="1" x14ac:dyDescent="0.3">
      <c r="B74" t="s">
        <v>30</v>
      </c>
      <c r="C74" s="17">
        <f>'Cash Flow Data'!E6</f>
        <v>-5743</v>
      </c>
      <c r="D74" s="17">
        <f>'Cash Flow Data'!F6</f>
        <v>-6621</v>
      </c>
      <c r="E74" s="17">
        <f>'Cash Flow Data'!G6</f>
        <v>-3560</v>
      </c>
      <c r="F74" s="17">
        <f>'Cash Flow Data'!H6</f>
        <v>2069</v>
      </c>
      <c r="G74" s="17">
        <f>'Cash Flow Data'!I6</f>
        <v>2326</v>
      </c>
      <c r="H74" s="17">
        <f>'Cash Flow Data'!J6</f>
        <v>3814</v>
      </c>
      <c r="I74" s="17">
        <f>'Cash Flow Data'!K6</f>
        <v>472</v>
      </c>
      <c r="J74" s="17">
        <f>'Cash Flow Data'!L6</f>
        <v>-5665</v>
      </c>
      <c r="K74" s="17">
        <f>'Cash Flow Data'!M6</f>
        <v>-7265</v>
      </c>
      <c r="L74" s="17">
        <f>'Cash Flow Data'!N6</f>
        <v>2127</v>
      </c>
    </row>
    <row r="75" spans="1:12" outlineLevel="1" x14ac:dyDescent="0.3">
      <c r="B75" t="s">
        <v>89</v>
      </c>
      <c r="C75" s="17">
        <f>'Cash Flow Data'!E7</f>
        <v>3947</v>
      </c>
      <c r="D75" s="17">
        <f>'Cash Flow Data'!F7</f>
        <v>9301</v>
      </c>
      <c r="E75" s="17">
        <f>'Cash Flow Data'!G7</f>
        <v>7320</v>
      </c>
      <c r="F75" s="17">
        <f>'Cash Flow Data'!H7</f>
        <v>-4692</v>
      </c>
      <c r="G75" s="17">
        <f>'Cash Flow Data'!I7</f>
        <v>-8085</v>
      </c>
      <c r="H75" s="17">
        <f>'Cash Flow Data'!J7</f>
        <v>5748</v>
      </c>
      <c r="I75" s="17">
        <f>'Cash Flow Data'!K7</f>
        <v>-7012</v>
      </c>
      <c r="J75" s="17">
        <f>'Cash Flow Data'!L7</f>
        <v>6945</v>
      </c>
      <c r="K75" s="17">
        <f>'Cash Flow Data'!M7</f>
        <v>13706</v>
      </c>
      <c r="L75" s="17">
        <f>'Cash Flow Data'!N7</f>
        <v>1303</v>
      </c>
    </row>
    <row r="76" spans="1:12" outlineLevel="1" x14ac:dyDescent="0.3">
      <c r="B76" t="s">
        <v>90</v>
      </c>
      <c r="C76" s="17">
        <f>'Cash Flow Data'!E8</f>
        <v>-520</v>
      </c>
      <c r="D76" s="17">
        <f>'Cash Flow Data'!F8</f>
        <v>0</v>
      </c>
      <c r="E76" s="17">
        <f>'Cash Flow Data'!G8</f>
        <v>0</v>
      </c>
      <c r="F76" s="17">
        <f>'Cash Flow Data'!H8</f>
        <v>0</v>
      </c>
      <c r="G76" s="17">
        <f>'Cash Flow Data'!I8</f>
        <v>0</v>
      </c>
      <c r="H76" s="17">
        <f>'Cash Flow Data'!J8</f>
        <v>0</v>
      </c>
      <c r="I76" s="17">
        <f>'Cash Flow Data'!K8</f>
        <v>0</v>
      </c>
      <c r="J76" s="17">
        <f>'Cash Flow Data'!L8</f>
        <v>0</v>
      </c>
      <c r="K76" s="17">
        <f>'Cash Flow Data'!M8</f>
        <v>0</v>
      </c>
      <c r="L76" s="17">
        <f>'Cash Flow Data'!N8</f>
        <v>0</v>
      </c>
    </row>
    <row r="77" spans="1:12" outlineLevel="1" x14ac:dyDescent="0.3">
      <c r="B77" t="s">
        <v>91</v>
      </c>
      <c r="C77" s="17">
        <f>'Cash Flow Data'!E9</f>
        <v>5852</v>
      </c>
      <c r="D77" s="17">
        <f>'Cash Flow Data'!F9</f>
        <v>4727</v>
      </c>
      <c r="E77" s="17">
        <f>'Cash Flow Data'!G9</f>
        <v>494</v>
      </c>
      <c r="F77" s="17">
        <f>'Cash Flow Data'!H9</f>
        <v>4512</v>
      </c>
      <c r="G77" s="17">
        <f>'Cash Flow Data'!I9</f>
        <v>875</v>
      </c>
      <c r="H77" s="17">
        <f>'Cash Flow Data'!J9</f>
        <v>-4150</v>
      </c>
      <c r="I77" s="17">
        <f>'Cash Flow Data'!K9</f>
        <v>-4396</v>
      </c>
      <c r="J77" s="17">
        <f>'Cash Flow Data'!L9</f>
        <v>-2194</v>
      </c>
      <c r="K77" s="17">
        <f>'Cash Flow Data'!M9</f>
        <v>2760</v>
      </c>
      <c r="L77" s="17">
        <f>'Cash Flow Data'!N9</f>
        <v>1153</v>
      </c>
    </row>
    <row r="78" spans="1:12" outlineLevel="1" x14ac:dyDescent="0.3">
      <c r="B78" t="s">
        <v>92</v>
      </c>
      <c r="C78" s="17">
        <f>'Cash Flow Data'!E10</f>
        <v>1313</v>
      </c>
      <c r="D78" s="17">
        <f>'Cash Flow Data'!F10</f>
        <v>3254</v>
      </c>
      <c r="E78" s="17">
        <f>'Cash Flow Data'!G10</f>
        <v>-6434</v>
      </c>
      <c r="F78" s="17">
        <f>'Cash Flow Data'!H10</f>
        <v>-7221</v>
      </c>
      <c r="G78" s="17">
        <f>'Cash Flow Data'!I10</f>
        <v>5065</v>
      </c>
      <c r="H78" s="17">
        <f>'Cash Flow Data'!J10</f>
        <v>-93</v>
      </c>
      <c r="I78" s="17">
        <f>'Cash Flow Data'!K10</f>
        <v>-10750</v>
      </c>
      <c r="J78" s="17">
        <f>'Cash Flow Data'!L10</f>
        <v>-3127</v>
      </c>
      <c r="K78" s="17">
        <f>'Cash Flow Data'!M10</f>
        <v>7325</v>
      </c>
      <c r="L78" s="17">
        <f>'Cash Flow Data'!N10</f>
        <v>8156</v>
      </c>
    </row>
    <row r="79" spans="1:12" outlineLevel="1" x14ac:dyDescent="0.3">
      <c r="B79" t="s">
        <v>93</v>
      </c>
      <c r="C79" s="17">
        <f>'Cash Flow Data'!E11</f>
        <v>-2040</v>
      </c>
      <c r="D79" s="17">
        <f>'Cash Flow Data'!F11</f>
        <v>-1895</v>
      </c>
      <c r="E79" s="17">
        <f>'Cash Flow Data'!G11</f>
        <v>-3021</v>
      </c>
      <c r="F79" s="17">
        <f>'Cash Flow Data'!H11</f>
        <v>-2659</v>
      </c>
      <c r="G79" s="17">
        <f>'Cash Flow Data'!I11</f>
        <v>-1785</v>
      </c>
      <c r="H79" s="17">
        <f>'Cash Flow Data'!J11</f>
        <v>-2105</v>
      </c>
      <c r="I79" s="17">
        <f>'Cash Flow Data'!K11</f>
        <v>-1910</v>
      </c>
      <c r="J79" s="17">
        <f>'Cash Flow Data'!L11</f>
        <v>-3179</v>
      </c>
      <c r="K79" s="17">
        <f>'Cash Flow Data'!M11</f>
        <v>-4516</v>
      </c>
      <c r="L79" s="17">
        <f>'Cash Flow Data'!N11</f>
        <v>-3991</v>
      </c>
    </row>
    <row r="80" spans="1:12" outlineLevel="1" x14ac:dyDescent="0.3">
      <c r="B80" s="29" t="s">
        <v>117</v>
      </c>
      <c r="C80" s="32">
        <f>SUM(C72:C79)</f>
        <v>39212</v>
      </c>
      <c r="D80" s="32">
        <f t="shared" ref="D80:L80" si="22">SUM(D72:D79)</f>
        <v>33454</v>
      </c>
      <c r="E80" s="32">
        <f t="shared" si="22"/>
        <v>17423</v>
      </c>
      <c r="F80" s="32">
        <f t="shared" si="22"/>
        <v>11671</v>
      </c>
      <c r="G80" s="32">
        <f t="shared" si="22"/>
        <v>31698</v>
      </c>
      <c r="H80" s="32">
        <f t="shared" si="22"/>
        <v>28907</v>
      </c>
      <c r="I80" s="32">
        <f t="shared" si="22"/>
        <v>3532</v>
      </c>
      <c r="J80" s="32">
        <f t="shared" si="22"/>
        <v>32261</v>
      </c>
      <c r="K80" s="32">
        <f t="shared" si="22"/>
        <v>75240</v>
      </c>
      <c r="L80" s="32">
        <f t="shared" si="22"/>
        <v>71258</v>
      </c>
    </row>
    <row r="81" spans="2:12" outlineLevel="1" x14ac:dyDescent="0.3"/>
    <row r="82" spans="2:12" outlineLevel="1" x14ac:dyDescent="0.3">
      <c r="B82" s="29" t="s">
        <v>118</v>
      </c>
    </row>
    <row r="83" spans="2:12" outlineLevel="1" x14ac:dyDescent="0.3">
      <c r="B83" t="s">
        <v>95</v>
      </c>
      <c r="C83" s="17">
        <f>'Cash Flow Data'!E13</f>
        <v>-31503</v>
      </c>
      <c r="D83" s="17">
        <f>'Cash Flow Data'!F13</f>
        <v>-16072</v>
      </c>
      <c r="E83" s="17">
        <f>'Cash Flow Data'!G13</f>
        <v>-35079</v>
      </c>
      <c r="F83" s="17">
        <f>'Cash Flow Data'!H13</f>
        <v>-35304</v>
      </c>
      <c r="G83" s="17">
        <f>'Cash Flow Data'!I13</f>
        <v>-29702</v>
      </c>
      <c r="H83" s="17">
        <f>'Cash Flow Data'!J13</f>
        <v>-20205</v>
      </c>
      <c r="I83" s="17">
        <f>'Cash Flow Data'!K13</f>
        <v>-15168</v>
      </c>
      <c r="J83" s="17">
        <f>'Cash Flow Data'!L13</f>
        <v>-19230</v>
      </c>
      <c r="K83" s="17">
        <f>'Cash Flow Data'!M13</f>
        <v>-31414</v>
      </c>
      <c r="L83" s="17">
        <f>'Cash Flow Data'!N13</f>
        <v>-38042</v>
      </c>
    </row>
    <row r="84" spans="2:12" outlineLevel="1" x14ac:dyDescent="0.3">
      <c r="B84" t="s">
        <v>96</v>
      </c>
      <c r="C84" s="17">
        <f>'Cash Flow Data'!E14</f>
        <v>59</v>
      </c>
      <c r="D84" s="17">
        <f>'Cash Flow Data'!F14</f>
        <v>53</v>
      </c>
      <c r="E84" s="17">
        <f>'Cash Flow Data'!G14</f>
        <v>30</v>
      </c>
      <c r="F84" s="17">
        <f>'Cash Flow Data'!H14</f>
        <v>67</v>
      </c>
      <c r="G84" s="17">
        <f>'Cash Flow Data'!I14</f>
        <v>171</v>
      </c>
      <c r="H84" s="17">
        <f>'Cash Flow Data'!J14</f>
        <v>351</v>
      </c>
      <c r="I84" s="17">
        <f>'Cash Flow Data'!K14</f>
        <v>230</v>
      </c>
      <c r="J84" s="17">
        <f>'Cash Flow Data'!L14</f>
        <v>285</v>
      </c>
      <c r="K84" s="17">
        <f>'Cash Flow Data'!M14</f>
        <v>231</v>
      </c>
      <c r="L84" s="17">
        <f>'Cash Flow Data'!N14</f>
        <v>974</v>
      </c>
    </row>
    <row r="85" spans="2:12" outlineLevel="1" x14ac:dyDescent="0.3">
      <c r="B85" t="s">
        <v>97</v>
      </c>
      <c r="C85" s="17">
        <f>'Cash Flow Data'!E15</f>
        <v>-4728</v>
      </c>
      <c r="D85" s="17">
        <f>'Cash Flow Data'!F15</f>
        <v>-6</v>
      </c>
      <c r="E85" s="17">
        <f>'Cash Flow Data'!G15</f>
        <v>-329</v>
      </c>
      <c r="F85" s="17">
        <f>'Cash Flow Data'!H15</f>
        <v>-130</v>
      </c>
      <c r="G85" s="17">
        <f>'Cash Flow Data'!I15</f>
        <v>-1439</v>
      </c>
      <c r="H85" s="17">
        <f>'Cash Flow Data'!J15</f>
        <v>-7530</v>
      </c>
      <c r="I85" s="17">
        <f>'Cash Flow Data'!K15</f>
        <v>-3008</v>
      </c>
      <c r="J85" s="17">
        <f>'Cash Flow Data'!L15</f>
        <v>-50</v>
      </c>
      <c r="K85" s="17">
        <f>'Cash Flow Data'!M15</f>
        <v>-74</v>
      </c>
      <c r="L85" s="17">
        <f>'Cash Flow Data'!N15</f>
        <v>-12677</v>
      </c>
    </row>
    <row r="86" spans="2:12" outlineLevel="1" x14ac:dyDescent="0.3">
      <c r="B86" t="s">
        <v>98</v>
      </c>
      <c r="C86" s="17">
        <f>'Cash Flow Data'!E16</f>
        <v>89</v>
      </c>
      <c r="D86" s="17">
        <f>'Cash Flow Data'!F16</f>
        <v>1965</v>
      </c>
      <c r="E86" s="17">
        <f>'Cash Flow Data'!G16</f>
        <v>2381</v>
      </c>
      <c r="F86" s="17">
        <f>'Cash Flow Data'!H16</f>
        <v>5644</v>
      </c>
      <c r="G86" s="17">
        <f>'Cash Flow Data'!I16</f>
        <v>21</v>
      </c>
      <c r="H86" s="17">
        <f>'Cash Flow Data'!J16</f>
        <v>226</v>
      </c>
      <c r="I86" s="17">
        <f>'Cash Flow Data'!K16</f>
        <v>104</v>
      </c>
      <c r="J86" s="17">
        <f>'Cash Flow Data'!L16</f>
        <v>6895</v>
      </c>
      <c r="K86" s="17">
        <f>'Cash Flow Data'!M16</f>
        <v>10821</v>
      </c>
      <c r="L86" s="17">
        <f>'Cash Flow Data'!N16</f>
        <v>111</v>
      </c>
    </row>
    <row r="87" spans="2:12" outlineLevel="1" x14ac:dyDescent="0.3">
      <c r="B87" t="s">
        <v>99</v>
      </c>
      <c r="C87" s="17">
        <f>'Cash Flow Data'!E17</f>
        <v>731</v>
      </c>
      <c r="D87" s="17">
        <f>'Cash Flow Data'!F17</f>
        <v>638</v>
      </c>
      <c r="E87" s="17">
        <f>'Cash Flow Data'!G17</f>
        <v>690</v>
      </c>
      <c r="F87" s="17">
        <f>'Cash Flow Data'!H17</f>
        <v>761</v>
      </c>
      <c r="G87" s="17">
        <f>'Cash Flow Data'!I17</f>
        <v>1104</v>
      </c>
      <c r="H87" s="17">
        <f>'Cash Flow Data'!J17</f>
        <v>428</v>
      </c>
      <c r="I87" s="17">
        <f>'Cash Flow Data'!K17</f>
        <v>653</v>
      </c>
      <c r="J87" s="17">
        <f>'Cash Flow Data'!L17</f>
        <v>973</v>
      </c>
      <c r="K87" s="17">
        <f>'Cash Flow Data'!M17</f>
        <v>2493</v>
      </c>
      <c r="L87" s="17">
        <f>'Cash Flow Data'!N17</f>
        <v>2420</v>
      </c>
    </row>
    <row r="88" spans="2:12" outlineLevel="1" x14ac:dyDescent="0.3">
      <c r="B88" t="s">
        <v>100</v>
      </c>
      <c r="C88" s="17">
        <f>'Cash Flow Data'!E18</f>
        <v>58</v>
      </c>
      <c r="D88" s="17">
        <f>'Cash Flow Data'!F18</f>
        <v>620</v>
      </c>
      <c r="E88" s="17">
        <f>'Cash Flow Data'!G18</f>
        <v>1797</v>
      </c>
      <c r="F88" s="17">
        <f>'Cash Flow Data'!H18</f>
        <v>232</v>
      </c>
      <c r="G88" s="17">
        <f>'Cash Flow Data'!I18</f>
        <v>21</v>
      </c>
      <c r="H88" s="17">
        <f>'Cash Flow Data'!J18</f>
        <v>18</v>
      </c>
      <c r="I88" s="17">
        <f>'Cash Flow Data'!K18</f>
        <v>32</v>
      </c>
      <c r="J88" s="17">
        <f>'Cash Flow Data'!L18</f>
        <v>46</v>
      </c>
      <c r="K88" s="17">
        <f>'Cash Flow Data'!M18</f>
        <v>47</v>
      </c>
      <c r="L88" s="17">
        <f>'Cash Flow Data'!N18</f>
        <v>64</v>
      </c>
    </row>
    <row r="89" spans="2:12" outlineLevel="1" x14ac:dyDescent="0.3">
      <c r="B89" t="s">
        <v>101</v>
      </c>
      <c r="C89" s="17">
        <f>'Cash Flow Data'!E19</f>
        <v>0</v>
      </c>
      <c r="D89" s="17">
        <f>'Cash Flow Data'!F19</f>
        <v>-107</v>
      </c>
      <c r="E89" s="17">
        <f>'Cash Flow Data'!G19</f>
        <v>-4</v>
      </c>
      <c r="F89" s="17">
        <f>'Cash Flow Data'!H19</f>
        <v>-9</v>
      </c>
      <c r="G89" s="17">
        <f>'Cash Flow Data'!I19</f>
        <v>-606</v>
      </c>
      <c r="H89" s="17">
        <f>'Cash Flow Data'!J19</f>
        <v>-10</v>
      </c>
      <c r="I89" s="17">
        <f>'Cash Flow Data'!K19</f>
        <v>0</v>
      </c>
      <c r="J89" s="17">
        <f>'Cash Flow Data'!L19</f>
        <v>0</v>
      </c>
      <c r="K89" s="17">
        <f>'Cash Flow Data'!M19</f>
        <v>-150</v>
      </c>
      <c r="L89" s="17">
        <f>'Cash Flow Data'!N19</f>
        <v>0</v>
      </c>
    </row>
    <row r="90" spans="2:12" outlineLevel="1" x14ac:dyDescent="0.3">
      <c r="B90" t="s">
        <v>102</v>
      </c>
      <c r="C90" s="17">
        <f>'Cash Flow Data'!E20</f>
        <v>0</v>
      </c>
      <c r="D90" s="17">
        <f>'Cash Flow Data'!F20</f>
        <v>0</v>
      </c>
      <c r="E90" s="17">
        <f>'Cash Flow Data'!G20</f>
        <v>14</v>
      </c>
      <c r="F90" s="17">
        <f>'Cash Flow Data'!H20</f>
        <v>533</v>
      </c>
      <c r="G90" s="17">
        <f>'Cash Flow Data'!I20</f>
        <v>0</v>
      </c>
      <c r="H90" s="17">
        <f>'Cash Flow Data'!J20</f>
        <v>0</v>
      </c>
      <c r="I90" s="17">
        <f>'Cash Flow Data'!K20</f>
        <v>0</v>
      </c>
      <c r="J90" s="17">
        <f>'Cash Flow Data'!L20</f>
        <v>19</v>
      </c>
      <c r="K90" s="17">
        <f>'Cash Flow Data'!M20</f>
        <v>107</v>
      </c>
      <c r="L90" s="17">
        <f>'Cash Flow Data'!N20</f>
        <v>765</v>
      </c>
    </row>
    <row r="91" spans="2:12" outlineLevel="1" x14ac:dyDescent="0.3">
      <c r="B91" t="s">
        <v>103</v>
      </c>
      <c r="C91" s="17">
        <f>'Cash Flow Data'!E21</f>
        <v>-111</v>
      </c>
      <c r="D91" s="17">
        <f>'Cash Flow Data'!F21</f>
        <v>0</v>
      </c>
      <c r="E91" s="17">
        <f>'Cash Flow Data'!G21</f>
        <v>0</v>
      </c>
      <c r="F91" s="17">
        <f>'Cash Flow Data'!H21</f>
        <v>-8</v>
      </c>
      <c r="G91" s="17">
        <f>'Cash Flow Data'!I21</f>
        <v>-27</v>
      </c>
      <c r="H91" s="17">
        <f>'Cash Flow Data'!J21</f>
        <v>0</v>
      </c>
      <c r="I91" s="17">
        <f>'Cash Flow Data'!K21</f>
        <v>-98</v>
      </c>
      <c r="J91" s="17">
        <f>'Cash Flow Data'!L21</f>
        <v>0</v>
      </c>
      <c r="K91" s="17">
        <f>'Cash Flow Data'!M21</f>
        <v>0</v>
      </c>
      <c r="L91" s="17">
        <f>'Cash Flow Data'!N21</f>
        <v>-688</v>
      </c>
    </row>
    <row r="92" spans="2:12" outlineLevel="1" x14ac:dyDescent="0.3">
      <c r="B92" t="s">
        <v>104</v>
      </c>
      <c r="C92" s="17">
        <f>'Cash Flow Data'!E22</f>
        <v>0</v>
      </c>
      <c r="D92" s="17">
        <f>'Cash Flow Data'!F22</f>
        <v>0</v>
      </c>
      <c r="E92" s="17">
        <f>'Cash Flow Data'!G22</f>
        <v>0</v>
      </c>
      <c r="F92" s="17">
        <f>'Cash Flow Data'!H22</f>
        <v>0</v>
      </c>
      <c r="G92" s="17">
        <f>'Cash Flow Data'!I22</f>
        <v>0</v>
      </c>
      <c r="H92" s="17">
        <f>'Cash Flow Data'!J22</f>
        <v>0</v>
      </c>
      <c r="I92" s="17">
        <f>'Cash Flow Data'!K22</f>
        <v>0</v>
      </c>
      <c r="J92" s="17">
        <f>'Cash Flow Data'!L22</f>
        <v>0</v>
      </c>
      <c r="K92" s="17">
        <f>'Cash Flow Data'!M22</f>
        <v>-25</v>
      </c>
      <c r="L92" s="17">
        <f>'Cash Flow Data'!N22</f>
        <v>-20</v>
      </c>
    </row>
    <row r="93" spans="2:12" outlineLevel="1" x14ac:dyDescent="0.3">
      <c r="B93" t="s">
        <v>105</v>
      </c>
      <c r="C93" s="17">
        <f>'Cash Flow Data'!E23</f>
        <v>-1289</v>
      </c>
      <c r="D93" s="17">
        <f>'Cash Flow Data'!F23</f>
        <v>-26663</v>
      </c>
      <c r="E93" s="17">
        <f>'Cash Flow Data'!G23</f>
        <v>5360</v>
      </c>
      <c r="F93" s="17">
        <f>'Cash Flow Data'!H23</f>
        <v>7335</v>
      </c>
      <c r="G93" s="17">
        <f>'Cash Flow Data'!I23</f>
        <v>-2659</v>
      </c>
      <c r="H93" s="17">
        <f>'Cash Flow Data'!J23</f>
        <v>1051</v>
      </c>
      <c r="I93" s="17">
        <f>'Cash Flow Data'!K23</f>
        <v>12813</v>
      </c>
      <c r="J93" s="17">
        <f>'Cash Flow Data'!L23</f>
        <v>-4357</v>
      </c>
      <c r="K93" s="17">
        <f>'Cash Flow Data'!M23</f>
        <v>-4817</v>
      </c>
      <c r="L93" s="17">
        <f>'Cash Flow Data'!N23</f>
        <v>-2889</v>
      </c>
    </row>
    <row r="94" spans="2:12" outlineLevel="1" x14ac:dyDescent="0.3">
      <c r="B94" s="29" t="s">
        <v>119</v>
      </c>
      <c r="C94" s="31">
        <f>SUM(C83:C93)</f>
        <v>-36694</v>
      </c>
      <c r="D94" s="31">
        <f t="shared" ref="D94:L94" si="23">SUM(D83:D93)</f>
        <v>-39572</v>
      </c>
      <c r="E94" s="31">
        <f t="shared" si="23"/>
        <v>-25140</v>
      </c>
      <c r="F94" s="31">
        <f t="shared" si="23"/>
        <v>-20879</v>
      </c>
      <c r="G94" s="31">
        <f t="shared" si="23"/>
        <v>-33116</v>
      </c>
      <c r="H94" s="31">
        <f t="shared" si="23"/>
        <v>-25671</v>
      </c>
      <c r="I94" s="31">
        <f t="shared" si="23"/>
        <v>-4442</v>
      </c>
      <c r="J94" s="31">
        <f t="shared" si="23"/>
        <v>-15419</v>
      </c>
      <c r="K94" s="31">
        <f t="shared" si="23"/>
        <v>-22781</v>
      </c>
      <c r="L94" s="31">
        <f t="shared" si="23"/>
        <v>-49982</v>
      </c>
    </row>
    <row r="95" spans="2:12" outlineLevel="1" x14ac:dyDescent="0.3"/>
    <row r="96" spans="2:12" outlineLevel="1" x14ac:dyDescent="0.3">
      <c r="B96" s="29" t="s">
        <v>120</v>
      </c>
    </row>
    <row r="97" spans="2:12" outlineLevel="1" x14ac:dyDescent="0.3">
      <c r="B97" t="s">
        <v>107</v>
      </c>
      <c r="C97" s="17">
        <f>'Cash Flow Data'!E25</f>
        <v>7433</v>
      </c>
      <c r="D97" s="17">
        <f>'Cash Flow Data'!F25</f>
        <v>5</v>
      </c>
      <c r="E97" s="17">
        <f>'Cash Flow Data'!G25</f>
        <v>0</v>
      </c>
      <c r="F97" s="17">
        <f>'Cash Flow Data'!H25</f>
        <v>0</v>
      </c>
      <c r="G97" s="17">
        <f>'Cash Flow Data'!I25</f>
        <v>3889</v>
      </c>
      <c r="H97" s="17">
        <f>'Cash Flow Data'!J25</f>
        <v>2603</v>
      </c>
      <c r="I97" s="17">
        <f>'Cash Flow Data'!K25</f>
        <v>19</v>
      </c>
      <c r="J97" s="17">
        <f>'Cash Flow Data'!L25</f>
        <v>20</v>
      </c>
      <c r="K97" s="17">
        <f>'Cash Flow Data'!M25</f>
        <v>82</v>
      </c>
      <c r="L97" s="17">
        <f>'Cash Flow Data'!N25</f>
        <v>1108</v>
      </c>
    </row>
    <row r="98" spans="2:12" outlineLevel="1" x14ac:dyDescent="0.3">
      <c r="B98" t="s">
        <v>108</v>
      </c>
      <c r="C98" s="17">
        <f>'Cash Flow Data'!E26</f>
        <v>0</v>
      </c>
      <c r="D98" s="17">
        <f>'Cash Flow Data'!F26</f>
        <v>0</v>
      </c>
      <c r="E98" s="17">
        <f>'Cash Flow Data'!G26</f>
        <v>0</v>
      </c>
      <c r="F98" s="17">
        <f>'Cash Flow Data'!H26</f>
        <v>0</v>
      </c>
      <c r="G98" s="17">
        <f>'Cash Flow Data'!I26</f>
        <v>0</v>
      </c>
      <c r="H98" s="17">
        <f>'Cash Flow Data'!J26</f>
        <v>0</v>
      </c>
      <c r="I98" s="17">
        <f>'Cash Flow Data'!K26</f>
        <v>0</v>
      </c>
      <c r="J98" s="17">
        <f>'Cash Flow Data'!L26</f>
        <v>0</v>
      </c>
      <c r="K98" s="17">
        <f>'Cash Flow Data'!M26</f>
        <v>0</v>
      </c>
      <c r="L98" s="17">
        <f>'Cash Flow Data'!N26</f>
        <v>0</v>
      </c>
    </row>
    <row r="99" spans="2:12" outlineLevel="1" x14ac:dyDescent="0.3">
      <c r="B99" t="s">
        <v>109</v>
      </c>
      <c r="C99" s="17">
        <f>'Cash Flow Data'!E27</f>
        <v>19519</v>
      </c>
      <c r="D99" s="17">
        <f>'Cash Flow Data'!F27</f>
        <v>33390</v>
      </c>
      <c r="E99" s="17">
        <f>'Cash Flow Data'!G27</f>
        <v>37482</v>
      </c>
      <c r="F99" s="17">
        <f>'Cash Flow Data'!H27</f>
        <v>51128</v>
      </c>
      <c r="G99" s="17">
        <f>'Cash Flow Data'!I27</f>
        <v>38297</v>
      </c>
      <c r="H99" s="17">
        <f>'Cash Flow Data'!J27</f>
        <v>46641</v>
      </c>
      <c r="I99" s="17">
        <f>'Cash Flow Data'!K27</f>
        <v>46578</v>
      </c>
      <c r="J99" s="17">
        <f>'Cash Flow Data'!L27</f>
        <v>43934</v>
      </c>
      <c r="K99" s="17">
        <f>'Cash Flow Data'!M27</f>
        <v>18829</v>
      </c>
      <c r="L99" s="17">
        <f>'Cash Flow Data'!N27</f>
        <v>13384</v>
      </c>
    </row>
    <row r="100" spans="2:12" outlineLevel="1" x14ac:dyDescent="0.3">
      <c r="B100" t="s">
        <v>110</v>
      </c>
      <c r="C100" s="17">
        <f>'Cash Flow Data'!E28</f>
        <v>-24924</v>
      </c>
      <c r="D100" s="17">
        <f>'Cash Flow Data'!F28</f>
        <v>-21732</v>
      </c>
      <c r="E100" s="17">
        <f>'Cash Flow Data'!G28</f>
        <v>-29964</v>
      </c>
      <c r="F100" s="17">
        <f>'Cash Flow Data'!H28</f>
        <v>-35198</v>
      </c>
      <c r="G100" s="17">
        <f>'Cash Flow Data'!I28</f>
        <v>-29847</v>
      </c>
      <c r="H100" s="17">
        <f>'Cash Flow Data'!J28</f>
        <v>-29709</v>
      </c>
      <c r="I100" s="17">
        <f>'Cash Flow Data'!K28</f>
        <v>-42816</v>
      </c>
      <c r="J100" s="17">
        <f>'Cash Flow Data'!L28</f>
        <v>-62557</v>
      </c>
      <c r="K100" s="17">
        <f>'Cash Flow Data'!M28</f>
        <v>-47414</v>
      </c>
      <c r="L100" s="17">
        <f>'Cash Flow Data'!N28</f>
        <v>-21443</v>
      </c>
    </row>
    <row r="101" spans="2:12" outlineLevel="1" x14ac:dyDescent="0.3">
      <c r="B101" t="s">
        <v>111</v>
      </c>
      <c r="C101" s="17">
        <f>'Cash Flow Data'!E29</f>
        <v>-5716</v>
      </c>
      <c r="D101" s="17">
        <f>'Cash Flow Data'!F29</f>
        <v>-5336</v>
      </c>
      <c r="E101" s="17">
        <f>'Cash Flow Data'!G29</f>
        <v>-5411</v>
      </c>
      <c r="F101" s="17">
        <f>'Cash Flow Data'!H29</f>
        <v>-7005</v>
      </c>
      <c r="G101" s="17">
        <f>'Cash Flow Data'!I29</f>
        <v>-7518</v>
      </c>
      <c r="H101" s="17">
        <f>'Cash Flow Data'!J29</f>
        <v>-8123</v>
      </c>
      <c r="I101" s="17">
        <f>'Cash Flow Data'!K29</f>
        <v>-9251</v>
      </c>
      <c r="J101" s="17">
        <f>'Cash Flow Data'!L29</f>
        <v>-9336</v>
      </c>
      <c r="K101" s="17">
        <f>'Cash Flow Data'!M29</f>
        <v>-9332</v>
      </c>
      <c r="L101" s="17">
        <f>'Cash Flow Data'!N29</f>
        <v>-5814</v>
      </c>
    </row>
    <row r="102" spans="2:12" outlineLevel="1" x14ac:dyDescent="0.3">
      <c r="B102" t="s">
        <v>112</v>
      </c>
      <c r="C102" s="17">
        <f>'Cash Flow Data'!E30</f>
        <v>-108</v>
      </c>
      <c r="D102" s="17">
        <f>'Cash Flow Data'!F30</f>
        <v>-121</v>
      </c>
      <c r="E102" s="17">
        <f>'Cash Flow Data'!G30</f>
        <v>-96</v>
      </c>
      <c r="F102" s="17">
        <f>'Cash Flow Data'!H30</f>
        <v>-95</v>
      </c>
      <c r="G102" s="17">
        <f>'Cash Flow Data'!I30</f>
        <v>-57</v>
      </c>
      <c r="H102" s="17">
        <f>'Cash Flow Data'!J30</f>
        <v>-30</v>
      </c>
      <c r="I102" s="17">
        <f>'Cash Flow Data'!K30</f>
        <v>-100</v>
      </c>
      <c r="J102" s="17">
        <f>'Cash Flow Data'!L30</f>
        <v>-141</v>
      </c>
      <c r="K102" s="17">
        <f>'Cash Flow Data'!M30</f>
        <v>-1059</v>
      </c>
      <c r="L102" s="17">
        <f>'Cash Flow Data'!N30</f>
        <v>-2492</v>
      </c>
    </row>
    <row r="103" spans="2:12" outlineLevel="1" x14ac:dyDescent="0.3">
      <c r="B103" t="s">
        <v>113</v>
      </c>
      <c r="C103" s="17">
        <f>'Cash Flow Data'!E31</f>
        <v>0</v>
      </c>
      <c r="D103" s="17">
        <f>'Cash Flow Data'!F31</f>
        <v>0</v>
      </c>
      <c r="E103" s="17">
        <f>'Cash Flow Data'!G31</f>
        <v>0</v>
      </c>
      <c r="F103" s="17">
        <f>'Cash Flow Data'!H31</f>
        <v>0</v>
      </c>
      <c r="G103" s="17">
        <f>'Cash Flow Data'!I31</f>
        <v>-1346</v>
      </c>
      <c r="H103" s="17">
        <f>'Cash Flow Data'!J31</f>
        <v>-1477</v>
      </c>
      <c r="I103" s="17">
        <f>'Cash Flow Data'!K31</f>
        <v>-1559</v>
      </c>
      <c r="J103" s="17">
        <f>'Cash Flow Data'!L31</f>
        <v>-1517</v>
      </c>
      <c r="K103" s="17">
        <f>'Cash Flow Data'!M31</f>
        <v>-1924</v>
      </c>
      <c r="L103" s="17">
        <f>'Cash Flow Data'!N31</f>
        <v>-2393</v>
      </c>
    </row>
    <row r="104" spans="2:12" outlineLevel="1" x14ac:dyDescent="0.3">
      <c r="B104" t="s">
        <v>114</v>
      </c>
      <c r="C104" s="17">
        <f>'Cash Flow Data'!E32</f>
        <v>0</v>
      </c>
      <c r="D104" s="17">
        <f>'Cash Flow Data'!F32</f>
        <v>0</v>
      </c>
      <c r="E104" s="17">
        <f>'Cash Flow Data'!G32</f>
        <v>0</v>
      </c>
      <c r="F104" s="17">
        <f>'Cash Flow Data'!H32</f>
        <v>0</v>
      </c>
      <c r="G104" s="17">
        <f>'Cash Flow Data'!I32</f>
        <v>-29</v>
      </c>
      <c r="H104" s="17">
        <f>'Cash Flow Data'!J32</f>
        <v>0</v>
      </c>
      <c r="I104" s="17">
        <f>'Cash Flow Data'!K32</f>
        <v>3750</v>
      </c>
      <c r="J104" s="17">
        <f>'Cash Flow Data'!L32</f>
        <v>3355</v>
      </c>
      <c r="K104" s="17">
        <f>'Cash Flow Data'!M32</f>
        <v>3812</v>
      </c>
      <c r="L104" s="17">
        <f>'Cash Flow Data'!N32</f>
        <v>-1136</v>
      </c>
    </row>
    <row r="105" spans="2:12" outlineLevel="1" x14ac:dyDescent="0.3">
      <c r="B105" s="29" t="s">
        <v>121</v>
      </c>
      <c r="C105" s="31">
        <f>SUM(C97:C104)</f>
        <v>-3796</v>
      </c>
      <c r="D105" s="31">
        <f t="shared" ref="D105:L105" si="24">SUM(D97:D104)</f>
        <v>6206</v>
      </c>
      <c r="E105" s="31">
        <f t="shared" si="24"/>
        <v>2011</v>
      </c>
      <c r="F105" s="31">
        <f t="shared" si="24"/>
        <v>8830</v>
      </c>
      <c r="G105" s="31">
        <f t="shared" si="24"/>
        <v>3389</v>
      </c>
      <c r="H105" s="31">
        <f t="shared" si="24"/>
        <v>9905</v>
      </c>
      <c r="I105" s="31">
        <f t="shared" si="24"/>
        <v>-3379</v>
      </c>
      <c r="J105" s="31">
        <f t="shared" si="24"/>
        <v>-26242</v>
      </c>
      <c r="K105" s="31">
        <f t="shared" si="24"/>
        <v>-37006</v>
      </c>
      <c r="L105" s="31">
        <f t="shared" si="24"/>
        <v>-18786</v>
      </c>
    </row>
    <row r="106" spans="2:12" outlineLevel="1" x14ac:dyDescent="0.3">
      <c r="B106" s="31" t="s">
        <v>21</v>
      </c>
      <c r="C106" s="31">
        <f>SUM(C80,C94,C105)</f>
        <v>-1278</v>
      </c>
      <c r="D106" s="31">
        <f t="shared" ref="D106:L106" si="25">SUM(D80,D94,D105)</f>
        <v>88</v>
      </c>
      <c r="E106" s="31">
        <f t="shared" si="25"/>
        <v>-5706</v>
      </c>
      <c r="F106" s="31">
        <f t="shared" si="25"/>
        <v>-378</v>
      </c>
      <c r="G106" s="31">
        <f t="shared" si="25"/>
        <v>1971</v>
      </c>
      <c r="H106" s="31">
        <f t="shared" si="25"/>
        <v>13141</v>
      </c>
      <c r="I106" s="31">
        <f t="shared" si="25"/>
        <v>-4289</v>
      </c>
      <c r="J106" s="31">
        <f t="shared" si="25"/>
        <v>-9400</v>
      </c>
      <c r="K106" s="31">
        <f t="shared" si="25"/>
        <v>15453</v>
      </c>
      <c r="L106" s="31">
        <f t="shared" si="25"/>
        <v>2490</v>
      </c>
    </row>
  </sheetData>
  <mergeCells count="1">
    <mergeCell ref="B2:L2"/>
  </mergeCells>
  <pageMargins left="0.7" right="0.7" top="0.75" bottom="0.75" header="0.3" footer="0.3"/>
  <pageSetup scale="77" fitToHeight="0" orientation="landscape" r:id="rId1"/>
  <ignoredErrors>
    <ignoredError sqref="M7 M10 C16 D16:M16 M25 M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A5C4-4948-430B-89C7-A01DAA27C6BA}">
  <sheetPr>
    <tabColor theme="9" tint="0.39997558519241921"/>
    <pageSetUpPr fitToPage="1"/>
  </sheetPr>
  <dimension ref="B2:Q40"/>
  <sheetViews>
    <sheetView showGridLines="0" workbookViewId="0">
      <pane ySplit="3" topLeftCell="A4" activePane="bottomLeft" state="frozen"/>
      <selection pane="bottomLeft" activeCell="C31" sqref="C31"/>
    </sheetView>
  </sheetViews>
  <sheetFormatPr defaultRowHeight="14.4" x14ac:dyDescent="0.3"/>
  <cols>
    <col min="2" max="2" width="27.6640625" customWidth="1"/>
    <col min="3" max="12" width="12.77734375" customWidth="1"/>
    <col min="13" max="13" width="12.44140625" customWidth="1"/>
    <col min="15" max="15" width="10.6640625" bestFit="1" customWidth="1"/>
    <col min="17" max="17" width="72.33203125" hidden="1" customWidth="1"/>
  </cols>
  <sheetData>
    <row r="2" spans="2:15" x14ac:dyDescent="0.3">
      <c r="B2" s="192" t="str">
        <f>"Ratio Analysis - "&amp;UPDATE</f>
        <v>Ratio Analysis - Tata Motors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</row>
    <row r="3" spans="2:15" x14ac:dyDescent="0.3"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162</v>
      </c>
      <c r="N3" s="10" t="s">
        <v>160</v>
      </c>
      <c r="O3" s="10" t="s">
        <v>161</v>
      </c>
    </row>
    <row r="5" spans="2:15" x14ac:dyDescent="0.3">
      <c r="B5" t="s">
        <v>10</v>
      </c>
      <c r="C5" s="34" t="str">
        <f>'Financials&gt;'!C8</f>
        <v>-</v>
      </c>
      <c r="D5" s="33">
        <f>'Financials&gt;'!D8</f>
        <v>-1.2280329732469508E-2</v>
      </c>
      <c r="E5" s="33">
        <f>'Financials&gt;'!E8</f>
        <v>8.104774581985974E-2</v>
      </c>
      <c r="F5" s="33">
        <f>'Financials&gt;'!F8</f>
        <v>3.5629919045237157E-2</v>
      </c>
      <c r="G5" s="33">
        <f>'Financials&gt;'!G8</f>
        <v>-0.135360159555724</v>
      </c>
      <c r="H5" s="33">
        <f>'Financials&gt;'!H8</f>
        <v>-4.3181168490336042E-2</v>
      </c>
      <c r="I5" s="33">
        <f>'Financials&gt;'!I8</f>
        <v>0.11472967306158344</v>
      </c>
      <c r="J5" s="33">
        <f>'Financials&gt;'!J8</f>
        <v>0.24245815155859707</v>
      </c>
      <c r="K5" s="33">
        <f>'Financials&gt;'!K8</f>
        <v>0.25450126062612277</v>
      </c>
      <c r="L5" s="33">
        <f>'Financials&gt;'!L8</f>
        <v>1.3084771068347711E-2</v>
      </c>
      <c r="N5" s="33">
        <f>IFERROR(AVERAGE(D5:L5), 0)</f>
        <v>6.1181095933468703E-2</v>
      </c>
      <c r="O5" s="19">
        <f>IFERROR(MEDIAN(C5:L5), 0)</f>
        <v>3.5629919045237157E-2</v>
      </c>
    </row>
    <row r="6" spans="2:15" x14ac:dyDescent="0.3">
      <c r="B6" t="s">
        <v>123</v>
      </c>
      <c r="C6" s="34" t="str">
        <f>IFERROR('Financials&gt;'!C19/'Financials&gt;'!B19 - 1, "-")</f>
        <v>-</v>
      </c>
      <c r="D6" s="33">
        <f>IFERROR('Financials&gt;'!D19/'Financials&gt;'!C19 - 1, "-")</f>
        <v>-0.13904721644255946</v>
      </c>
      <c r="E6" s="33">
        <f>IFERROR('Financials&gt;'!E19/'Financials&gt;'!D19 - 1, "-")</f>
        <v>6.6230755445551681E-2</v>
      </c>
      <c r="F6" s="33">
        <f>IFERROR('Financials&gt;'!F19/'Financials&gt;'!E19 - 1, "-")</f>
        <v>-6.2333371169327689E-2</v>
      </c>
      <c r="G6" s="33">
        <f>IFERROR('Financials&gt;'!G19/'Financials&gt;'!F19 - 1, "-")</f>
        <v>-0.16375107497729247</v>
      </c>
      <c r="H6" s="33">
        <f>IFERROR('Financials&gt;'!H19/'Financials&gt;'!G19 - 1, "-")</f>
        <v>0.23768881256573304</v>
      </c>
      <c r="I6" s="33">
        <f>IFERROR('Financials&gt;'!I19/'Financials&gt;'!H19 - 1, "-")</f>
        <v>-7.3533546082807488E-2</v>
      </c>
      <c r="J6" s="33">
        <f>IFERROR('Financials&gt;'!J19/'Financials&gt;'!I19 - 1, "-")</f>
        <v>0.17904085839713924</v>
      </c>
      <c r="K6" s="33">
        <f>IFERROR('Financials&gt;'!K19/'Financials&gt;'!J19 - 1, "-")</f>
        <v>0.52456449851459896</v>
      </c>
      <c r="L6" s="33">
        <f>IFERROR('Financials&gt;'!L19/'Financials&gt;'!K19 - 1, "-")</f>
        <v>3.1749053239024549E-2</v>
      </c>
      <c r="N6" s="33">
        <f t="shared" ref="N6:N9" si="0">IFERROR(AVERAGE(D6:L6), 0)</f>
        <v>6.6734307721117825E-2</v>
      </c>
      <c r="O6" s="19">
        <f t="shared" ref="O6:O9" si="1">IFERROR(MEDIAN(C6:L6), 0)</f>
        <v>3.1749053239024549E-2</v>
      </c>
    </row>
    <row r="7" spans="2:15" x14ac:dyDescent="0.3">
      <c r="B7" t="s">
        <v>126</v>
      </c>
      <c r="C7" s="34" t="str">
        <f>IFERROR('Financials&gt;'!C28/'Financials&gt;'!B28-1,"-")</f>
        <v>-</v>
      </c>
      <c r="D7" s="33">
        <f>IFERROR('Financials&gt;'!D28/'Financials&gt;'!C28-1,"-")</f>
        <v>-0.21669234009424443</v>
      </c>
      <c r="E7" s="33">
        <f>IFERROR('Financials&gt;'!E28/'Financials&gt;'!D28-1,"-")</f>
        <v>-7.1604295083831371E-3</v>
      </c>
      <c r="F7" s="33">
        <f>IFERROR('Financials&gt;'!F28/'Financials&gt;'!E28-1,"-")</f>
        <v>-0.19602903971269869</v>
      </c>
      <c r="G7" s="33">
        <f>IFERROR('Financials&gt;'!G28/'Financials&gt;'!F28-1,"-")</f>
        <v>-0.30820649344146667</v>
      </c>
      <c r="H7" s="33">
        <f>IFERROR('Financials&gt;'!H28/'Financials&gt;'!G28-1,"-")</f>
        <v>0.43200682697851289</v>
      </c>
      <c r="I7" s="33">
        <f>IFERROR('Financials&gt;'!I28/'Financials&gt;'!H28-1,"-")</f>
        <v>-0.24427268032728677</v>
      </c>
      <c r="J7" s="33">
        <f>IFERROR('Financials&gt;'!J28/'Financials&gt;'!I28-1,"-")</f>
        <v>0.42110166661521831</v>
      </c>
      <c r="K7" s="33">
        <f>IFERROR('Financials&gt;'!K28/'Financials&gt;'!J28-1,"-")</f>
        <v>1.1386120496329415</v>
      </c>
      <c r="L7" s="33">
        <f>IFERROR('Financials&gt;'!L28/'Financials&gt;'!K28-1,"-")</f>
        <v>0.14870500607869985</v>
      </c>
      <c r="N7" s="33">
        <f t="shared" si="0"/>
        <v>0.12978495180236585</v>
      </c>
      <c r="O7" s="19">
        <f t="shared" si="1"/>
        <v>-7.1604295083831371E-3</v>
      </c>
    </row>
    <row r="8" spans="2:15" x14ac:dyDescent="0.3">
      <c r="B8" t="s">
        <v>124</v>
      </c>
      <c r="C8" s="34" t="str">
        <f>IFERROR('Financials&gt;'!C34/'Financials&gt;'!B34 - 1, "-")</f>
        <v>-</v>
      </c>
      <c r="D8" s="33">
        <f>IFERROR('Financials&gt;'!D34/'Financials&gt;'!C34 - 1, "-")</f>
        <v>-0.23736431516746248</v>
      </c>
      <c r="E8" s="33">
        <f>IFERROR('Financials&gt;'!E34/'Financials&gt;'!D34 - 1, "-")</f>
        <v>-4.1407922871062208E-2</v>
      </c>
      <c r="F8" s="33">
        <f>IFERROR('Financials&gt;'!F34/'Financials&gt;'!E34 - 1, "-")</f>
        <v>-5.9024145249931825E-3</v>
      </c>
      <c r="G8" s="33">
        <f>IFERROR('Financials&gt;'!G34/'Financials&gt;'!F34 - 1, "-")</f>
        <v>-0.37535818652605824</v>
      </c>
      <c r="H8" s="33">
        <f>IFERROR('Financials&gt;'!H34/'Financials&gt;'!G34 - 1, "-")</f>
        <v>0.32995672891684125</v>
      </c>
      <c r="I8" s="33">
        <f>IFERROR('Financials&gt;'!I34/'Financials&gt;'!H34 - 1, "-")</f>
        <v>-0.33399391149650692</v>
      </c>
      <c r="J8" s="33">
        <f>IFERROR('Financials&gt;'!J34/'Financials&gt;'!I34 - 1, "-")</f>
        <v>0.73067044047820917</v>
      </c>
      <c r="K8" s="33">
        <f>IFERROR('Financials&gt;'!K34/'Financials&gt;'!J34 - 1, "-")</f>
        <v>1.3249193075611698</v>
      </c>
      <c r="L8" s="33">
        <f>IFERROR('Financials&gt;'!L34/'Financials&gt;'!K34 - 1, "-")</f>
        <v>-7.047315411926669E-2</v>
      </c>
      <c r="N8" s="33">
        <f t="shared" si="0"/>
        <v>0.14678295247231893</v>
      </c>
      <c r="O8" s="19">
        <f t="shared" si="1"/>
        <v>-4.1407922871062208E-2</v>
      </c>
    </row>
    <row r="9" spans="2:15" x14ac:dyDescent="0.3">
      <c r="B9" t="s">
        <v>125</v>
      </c>
      <c r="C9" s="34" t="str">
        <f>IFERROR('Financials&gt;'!C41/'Financials&gt;'!B41 - 1, "-")</f>
        <v>-</v>
      </c>
      <c r="D9" s="33">
        <f>IFERROR('Financials&gt;'!D41/'Financials&gt;'!C41 - 1, "-")</f>
        <v>-1</v>
      </c>
      <c r="E9" s="33" t="str">
        <f>IFERROR('Financials&gt;'!E41/'Financials&gt;'!D41 - 1, "-")</f>
        <v>-</v>
      </c>
      <c r="F9" s="33" t="str">
        <f>IFERROR('Financials&gt;'!F41/'Financials&gt;'!E41 - 1, "-")</f>
        <v>-</v>
      </c>
      <c r="G9" s="33" t="str">
        <f>IFERROR('Financials&gt;'!G41/'Financials&gt;'!F41 - 1, "-")</f>
        <v>-</v>
      </c>
      <c r="H9" s="33" t="str">
        <f>IFERROR('Financials&gt;'!H41/'Financials&gt;'!G41 - 1, "-")</f>
        <v>-</v>
      </c>
      <c r="I9" s="33" t="str">
        <f>IFERROR('Financials&gt;'!I41/'Financials&gt;'!H41 - 1, "-")</f>
        <v>-</v>
      </c>
      <c r="J9" s="33" t="str">
        <f>IFERROR('Financials&gt;'!J41/'Financials&gt;'!I41 - 1, "-")</f>
        <v>-</v>
      </c>
      <c r="K9" s="33">
        <f>IFERROR('Financials&gt;'!K41/'Financials&gt;'!J41 - 1, "-")</f>
        <v>2.0016689880185949</v>
      </c>
      <c r="L9" s="33">
        <f>IFERROR('Financials&gt;'!L41/'Financials&gt;'!K41 - 1, "-")</f>
        <v>-0.1336306958339889</v>
      </c>
      <c r="N9" s="33">
        <f t="shared" si="0"/>
        <v>0.28934609739486866</v>
      </c>
      <c r="O9" s="19">
        <f t="shared" si="1"/>
        <v>-0.1336306958339889</v>
      </c>
    </row>
    <row r="10" spans="2:15" x14ac:dyDescent="0.3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  <c r="O10" s="40"/>
    </row>
    <row r="11" spans="2:15" x14ac:dyDescent="0.3">
      <c r="B11" t="s">
        <v>61</v>
      </c>
      <c r="C11" s="19">
        <f>IFERROR('Financials&gt;'!C14, "0")</f>
        <v>0.35311838022659936</v>
      </c>
      <c r="D11" s="19">
        <f>IFERROR('Financials&gt;'!D14, "0")</f>
        <v>0.3432470556931671</v>
      </c>
      <c r="E11" s="19">
        <f>IFERROR('Financials&gt;'!E14, "0")</f>
        <v>0.32042732359761505</v>
      </c>
      <c r="F11" s="19">
        <f>IFERROR('Financials&gt;'!F14, "0")</f>
        <v>0.3058131724881632</v>
      </c>
      <c r="G11" s="19">
        <f>IFERROR('Financials&gt;'!G14, "0")</f>
        <v>0.3107638979994366</v>
      </c>
      <c r="H11" s="19">
        <f>IFERROR('Financials&gt;'!H14, "0")</f>
        <v>0.32873865443529138</v>
      </c>
      <c r="I11" s="19">
        <f>IFERROR('Financials&gt;'!I14, "0")</f>
        <v>0.30871256046159501</v>
      </c>
      <c r="J11" s="19">
        <f>IFERROR('Financials&gt;'!J14, "0")</f>
        <v>0.30412738533970446</v>
      </c>
      <c r="K11" s="19">
        <f>IFERROR('Financials&gt;'!K14, "0")</f>
        <v>0.3263151588881516</v>
      </c>
      <c r="L11" s="19">
        <f>IFERROR('Financials&gt;'!L14, "0")</f>
        <v>0.33353347206586381</v>
      </c>
      <c r="N11" s="33">
        <f>IFERROR(AVERAGE(C11:L11), 0)</f>
        <v>0.32347970611955879</v>
      </c>
      <c r="O11" s="19">
        <f>IFERROR(MEDIAN(C11:L11),0)</f>
        <v>0.3233712412428833</v>
      </c>
    </row>
    <row r="12" spans="2:15" x14ac:dyDescent="0.3">
      <c r="B12" t="s">
        <v>127</v>
      </c>
      <c r="C12" s="19">
        <f>IFERROR('Financials&gt;'!C20, "-")</f>
        <v>0.24639159173412778</v>
      </c>
      <c r="D12" s="19">
        <f>IFERROR('Financials&gt;'!D20, "-")</f>
        <v>0.21476896039864077</v>
      </c>
      <c r="E12" s="19">
        <f>IFERROR('Financials&gt;'!E20, "-")</f>
        <v>0.2118253072332448</v>
      </c>
      <c r="F12" s="19">
        <f>IFERROR('Financials&gt;'!F20, "-")</f>
        <v>0.19178812631980569</v>
      </c>
      <c r="G12" s="19">
        <f>IFERROR('Financials&gt;'!G20, "-")</f>
        <v>0.18549065976956103</v>
      </c>
      <c r="H12" s="19">
        <f>IFERROR('Financials&gt;'!H20, "-")</f>
        <v>0.23994063125826304</v>
      </c>
      <c r="I12" s="19">
        <f>IFERROR('Financials&gt;'!I20, "-")</f>
        <v>0.19941780609639767</v>
      </c>
      <c r="J12" s="19">
        <f>IFERROR('Financials&gt;'!J20, "-")</f>
        <v>0.18923916349586775</v>
      </c>
      <c r="K12" s="19">
        <f>IFERROR('Financials&gt;'!K20, "-")</f>
        <v>0.22997769667477697</v>
      </c>
      <c r="L12" s="19">
        <f>IFERROR('Financials&gt;'!L20, "-")</f>
        <v>0.23421462604760118</v>
      </c>
      <c r="N12" s="33">
        <f t="shared" ref="N12:N40" si="2">IFERROR(AVERAGE(C12:L12), 0)</f>
        <v>0.21430545690282865</v>
      </c>
      <c r="O12" s="19">
        <f t="shared" ref="O12:O40" si="3">IFERROR(MEDIAN(C12:L12),0)</f>
        <v>0.21329713381594279</v>
      </c>
    </row>
    <row r="13" spans="2:15" x14ac:dyDescent="0.3">
      <c r="B13" t="s">
        <v>128</v>
      </c>
      <c r="C13" s="33">
        <f>IFERROR(('Financials&gt;'!C19 - 'Financials&gt;'!C25)/'Financials&gt;'!C7, "-")</f>
        <v>0.18519016603820007</v>
      </c>
      <c r="D13" s="33">
        <f>IFERROR(('Financials&gt;'!D19 - 'Financials&gt;'!D25)/'Financials&gt;'!D7, "-")</f>
        <v>0.14837857380614694</v>
      </c>
      <c r="E13" s="33">
        <f>IFERROR(('Financials&gt;'!E19 - 'Financials&gt;'!E25)/'Financials&gt;'!E7, "-")</f>
        <v>0.13789783505072603</v>
      </c>
      <c r="F13" s="33">
        <f>IFERROR(('Financials&gt;'!F19 - 'Financials&gt;'!F25)/'Financials&gt;'!F7, "-")</f>
        <v>0.11365752087180703</v>
      </c>
      <c r="G13" s="33">
        <f>IFERROR(('Financials&gt;'!G19 - 'Financials&gt;'!G25)/'Financials&gt;'!G7, "-")</f>
        <v>0.10342226202624538</v>
      </c>
      <c r="H13" s="33">
        <f>IFERROR(('Financials&gt;'!H19 - 'Financials&gt;'!H25)/'Financials&gt;'!H7, "-")</f>
        <v>0.14567640032466656</v>
      </c>
      <c r="I13" s="33">
        <f>IFERROR(('Financials&gt;'!I19 - 'Financials&gt;'!I25)/'Financials&gt;'!I7, "-")</f>
        <v>0.11022632781717832</v>
      </c>
      <c r="J13" s="33">
        <f>IFERROR(('Financials&gt;'!J19 - 'Financials&gt;'!J25)/'Financials&gt;'!J7, "-")</f>
        <v>0.11738155234876894</v>
      </c>
      <c r="K13" s="33">
        <f>IFERROR(('Financials&gt;'!K19 - 'Financials&gt;'!K25)/'Financials&gt;'!K7, "-")</f>
        <v>0.16721733760967339</v>
      </c>
      <c r="L13" s="33">
        <f>IFERROR(('Financials&gt;'!L19 - 'Financials&gt;'!L25)/'Financials&gt;'!L7, "-")</f>
        <v>0.18132341736885796</v>
      </c>
      <c r="N13" s="33">
        <f t="shared" si="2"/>
        <v>0.14103713932622708</v>
      </c>
      <c r="O13" s="19">
        <f t="shared" si="3"/>
        <v>0.14178711768769631</v>
      </c>
    </row>
    <row r="14" spans="2:15" x14ac:dyDescent="0.3">
      <c r="B14" t="s">
        <v>129</v>
      </c>
      <c r="C14" s="19">
        <f>'Financials&gt;'!C29</f>
        <v>0.16728443893620684</v>
      </c>
      <c r="D14" s="19">
        <f>'Financials&gt;'!D29</f>
        <v>0.13266434429343266</v>
      </c>
      <c r="E14" s="19">
        <f>'Financials&gt;'!E29</f>
        <v>0.12183958675012295</v>
      </c>
      <c r="F14" s="19">
        <f>'Financials&gt;'!F29</f>
        <v>9.4585418747665129E-2</v>
      </c>
      <c r="G14" s="19">
        <f>'Financials&gt;'!G29</f>
        <v>7.5677265196492566E-2</v>
      </c>
      <c r="H14" s="19">
        <f>'Financials&gt;'!H29</f>
        <v>0.1132611073691501</v>
      </c>
      <c r="I14" s="19">
        <f>'Financials&gt;'!I29</f>
        <v>7.6784995648467413E-2</v>
      </c>
      <c r="J14" s="19">
        <f>'Financials&gt;'!J29</f>
        <v>8.7825320434491122E-2</v>
      </c>
      <c r="K14" s="19">
        <f>'Financials&gt;'!K29</f>
        <v>0.14972028680970287</v>
      </c>
      <c r="L14" s="19">
        <f>'Financials&gt;'!L29</f>
        <v>0.1697631312614426</v>
      </c>
      <c r="N14" s="33">
        <f t="shared" si="2"/>
        <v>0.1189405895447174</v>
      </c>
      <c r="O14" s="19">
        <f t="shared" si="3"/>
        <v>0.11755034705963652</v>
      </c>
    </row>
    <row r="15" spans="2:15" x14ac:dyDescent="0.3">
      <c r="B15" t="s">
        <v>130</v>
      </c>
      <c r="C15" s="19">
        <f>'Financials&gt;'!C35</f>
        <v>0.15620552025009726</v>
      </c>
      <c r="D15" s="19">
        <f>'Financials&gt;'!D35</f>
        <v>0.12060902247526277</v>
      </c>
      <c r="E15" s="19">
        <f>'Financials&gt;'!E35</f>
        <v>0.10694703709628599</v>
      </c>
      <c r="F15" s="19">
        <f>'Financials&gt;'!F35</f>
        <v>0.10265809184919843</v>
      </c>
      <c r="G15" s="19">
        <f>'Financials&gt;'!G35</f>
        <v>7.4163291651595437E-2</v>
      </c>
      <c r="H15" s="19">
        <f>'Financials&gt;'!H35</f>
        <v>0.10308531304200751</v>
      </c>
      <c r="I15" s="19">
        <f>'Financials&gt;'!I35</f>
        <v>6.1589323205781976E-2</v>
      </c>
      <c r="J15" s="19">
        <f>'Financials&gt;'!J35</f>
        <v>8.5790270672370758E-2</v>
      </c>
      <c r="K15" s="19">
        <f>'Financials&gt;'!K35</f>
        <v>0.15899183440241835</v>
      </c>
      <c r="L15" s="19">
        <f>'Financials&gt;'!L35</f>
        <v>0.14587839297694993</v>
      </c>
      <c r="N15" s="33">
        <f t="shared" si="2"/>
        <v>0.11159180976219685</v>
      </c>
      <c r="O15" s="19">
        <f t="shared" si="3"/>
        <v>0.10501617506914675</v>
      </c>
    </row>
    <row r="16" spans="2:15" x14ac:dyDescent="0.3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40"/>
    </row>
    <row r="17" spans="2:17" x14ac:dyDescent="0.3">
      <c r="B17" t="s">
        <v>131</v>
      </c>
      <c r="C17" s="33">
        <f>IFERROR('Financials&gt;'!C17, "-")</f>
        <v>0.10672678849247161</v>
      </c>
      <c r="D17" s="33">
        <f>IFERROR('Financials&gt;'!D17, "-")</f>
        <v>0.12847809529452636</v>
      </c>
      <c r="E17" s="33">
        <f>IFERROR('Financials&gt;'!E17, "-")</f>
        <v>0.10860201636437025</v>
      </c>
      <c r="F17" s="33">
        <f>IFERROR('Financials&gt;'!F17, "-")</f>
        <v>0.11402504616835751</v>
      </c>
      <c r="G17" s="33">
        <f>IFERROR('Financials&gt;'!G17, "-")</f>
        <v>0.12527323822987554</v>
      </c>
      <c r="H17" s="33">
        <f>IFERROR('Financials&gt;'!H17, "-")</f>
        <v>8.8798023177028354E-2</v>
      </c>
      <c r="I17" s="33">
        <f>IFERROR('Financials&gt;'!I17, "-")</f>
        <v>0.10929475436519734</v>
      </c>
      <c r="J17" s="33">
        <f>IFERROR('Financials&gt;'!J17, "-")</f>
        <v>0.11488822184383672</v>
      </c>
      <c r="K17" s="33">
        <f>IFERROR('Financials&gt;'!K17, "-")</f>
        <v>9.6337462213374622E-2</v>
      </c>
      <c r="L17" s="33">
        <f>IFERROR('Financials&gt;'!L17, "-")</f>
        <v>9.9318846018262658E-2</v>
      </c>
      <c r="N17" s="33">
        <f t="shared" si="2"/>
        <v>0.10917424921673009</v>
      </c>
      <c r="O17" s="19">
        <f t="shared" si="3"/>
        <v>0.1089483853647838</v>
      </c>
    </row>
    <row r="18" spans="2:17" x14ac:dyDescent="0.3">
      <c r="B18" t="s">
        <v>132</v>
      </c>
      <c r="C18" s="33">
        <f>IFERROR('Financials&gt;'!C26,"-")</f>
        <v>6.1201425695927715E-2</v>
      </c>
      <c r="D18" s="33">
        <f>IFERROR('Financials&gt;'!D26,"-")</f>
        <v>6.63903865924938E-2</v>
      </c>
      <c r="E18" s="33">
        <f>IFERROR('Financials&gt;'!E26,"-")</f>
        <v>7.3927472182518786E-2</v>
      </c>
      <c r="F18" s="33">
        <f>IFERROR('Financials&gt;'!F26,"-")</f>
        <v>7.8130605447998658E-2</v>
      </c>
      <c r="G18" s="33">
        <f>IFERROR('Financials&gt;'!G26,"-")</f>
        <v>8.206839774331566E-2</v>
      </c>
      <c r="H18" s="33">
        <f>IFERROR('Financials&gt;'!H26,"-")</f>
        <v>9.4264230933596482E-2</v>
      </c>
      <c r="I18" s="33">
        <f>IFERROR('Financials&gt;'!I26,"-")</f>
        <v>8.9191478279219347E-2</v>
      </c>
      <c r="J18" s="33">
        <f>IFERROR('Financials&gt;'!J26,"-")</f>
        <v>7.1857611147098821E-2</v>
      </c>
      <c r="K18" s="33">
        <f>IFERROR('Financials&gt;'!K26,"-")</f>
        <v>6.2760359065103591E-2</v>
      </c>
      <c r="L18" s="33">
        <f>IFERROR('Financials&gt;'!L26,"-")</f>
        <v>5.2891208678743216E-2</v>
      </c>
      <c r="N18" s="33">
        <f t="shared" si="2"/>
        <v>7.3268317576601599E-2</v>
      </c>
      <c r="O18" s="19">
        <f t="shared" si="3"/>
        <v>7.2892541664808796E-2</v>
      </c>
    </row>
    <row r="19" spans="2:17" x14ac:dyDescent="0.3">
      <c r="B19" t="s">
        <v>133</v>
      </c>
      <c r="C19" s="19">
        <f>C13</f>
        <v>0.18519016603820007</v>
      </c>
      <c r="D19" s="19">
        <f t="shared" ref="D19:L19" si="4">D13</f>
        <v>0.14837857380614694</v>
      </c>
      <c r="E19" s="19">
        <f t="shared" si="4"/>
        <v>0.13789783505072603</v>
      </c>
      <c r="F19" s="19">
        <f t="shared" si="4"/>
        <v>0.11365752087180703</v>
      </c>
      <c r="G19" s="19">
        <f t="shared" si="4"/>
        <v>0.10342226202624538</v>
      </c>
      <c r="H19" s="19">
        <f t="shared" si="4"/>
        <v>0.14567640032466656</v>
      </c>
      <c r="I19" s="19">
        <f t="shared" si="4"/>
        <v>0.11022632781717832</v>
      </c>
      <c r="J19" s="19">
        <f t="shared" si="4"/>
        <v>0.11738155234876894</v>
      </c>
      <c r="K19" s="19">
        <f t="shared" si="4"/>
        <v>0.16721733760967339</v>
      </c>
      <c r="L19" s="19">
        <f t="shared" si="4"/>
        <v>0.18132341736885796</v>
      </c>
      <c r="N19" s="33">
        <f t="shared" si="2"/>
        <v>0.14103713932622708</v>
      </c>
      <c r="O19" s="19">
        <f t="shared" si="3"/>
        <v>0.14178711768769631</v>
      </c>
    </row>
    <row r="20" spans="2:17" ht="15" thickBot="1" x14ac:dyDescent="0.35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3"/>
      <c r="O20" s="44"/>
    </row>
    <row r="21" spans="2:17" x14ac:dyDescent="0.3">
      <c r="B21" t="s">
        <v>134</v>
      </c>
      <c r="C21" s="33">
        <f>('Financials&gt;'!C19 -'Financials&gt;'!C25)/SUM('Financials&gt;'!C48:C50)</f>
        <v>0.34093825080133205</v>
      </c>
      <c r="D21" s="33">
        <f>('Financials&gt;'!D19 -'Financials&gt;'!D25)/SUM('Financials&gt;'!D48:D50)</f>
        <v>0.29280602391804206</v>
      </c>
      <c r="E21" s="33">
        <f>('Financials&gt;'!E19 -'Financials&gt;'!E25)/SUM('Financials&gt;'!E48:E50)</f>
        <v>0.21805257210742382</v>
      </c>
      <c r="F21" s="33">
        <f>('Financials&gt;'!F19 -'Financials&gt;'!F25)/SUM('Financials&gt;'!F48:F50)</f>
        <v>0.20629130852172087</v>
      </c>
      <c r="G21" s="33">
        <f>('Financials&gt;'!G19 -'Financials&gt;'!G25)/SUM('Financials&gt;'!G48:G50)</f>
        <v>0.14372060706831874</v>
      </c>
      <c r="H21" s="33">
        <f>('Financials&gt;'!H19 -'Financials&gt;'!H25)/SUM('Financials&gt;'!H48:H50)</f>
        <v>0.18436366210114649</v>
      </c>
      <c r="I21" s="33">
        <f>('Financials&gt;'!I19 -'Financials&gt;'!I25)/SUM('Financials&gt;'!I48:I50)</f>
        <v>0.16068727613441938</v>
      </c>
      <c r="J21" s="33">
        <f>('Financials&gt;'!J19 -'Financials&gt;'!J25)/SUM('Financials&gt;'!J48:J50)</f>
        <v>0.22632199930860833</v>
      </c>
      <c r="K21" s="33">
        <f>('Financials&gt;'!K19 -'Financials&gt;'!K25)/SUM('Financials&gt;'!K48:K50)</f>
        <v>0.37763682342779242</v>
      </c>
      <c r="L21" s="33">
        <f>('Financials&gt;'!L19 -'Financials&gt;'!L25)/SUM('Financials&gt;'!L48:L50)</f>
        <v>0.42479380234862857</v>
      </c>
      <c r="N21" s="33">
        <f t="shared" si="2"/>
        <v>0.25756123257374325</v>
      </c>
      <c r="O21" s="19">
        <f t="shared" si="3"/>
        <v>0.22218728570801607</v>
      </c>
      <c r="Q21" s="36" t="s">
        <v>139</v>
      </c>
    </row>
    <row r="22" spans="2:17" x14ac:dyDescent="0.3">
      <c r="B22" t="s">
        <v>136</v>
      </c>
      <c r="C22" s="19">
        <f>'Financials&gt;'!C44</f>
        <v>0.99840754885615257</v>
      </c>
      <c r="D22" s="19">
        <f>'Financials&gt;'!D44</f>
        <v>1</v>
      </c>
      <c r="E22" s="19">
        <f>'Financials&gt;'!E44</f>
        <v>1</v>
      </c>
      <c r="F22" s="19">
        <f>'Financials&gt;'!F44</f>
        <v>1</v>
      </c>
      <c r="G22" s="19">
        <f>'Financials&gt;'!G44</f>
        <v>1</v>
      </c>
      <c r="H22" s="19">
        <f>'Financials&gt;'!H44</f>
        <v>1</v>
      </c>
      <c r="I22" s="19">
        <f>'Financials&gt;'!I44</f>
        <v>1</v>
      </c>
      <c r="J22" s="19">
        <f>'Financials&gt;'!J44</f>
        <v>0.97419122254940937</v>
      </c>
      <c r="K22" s="19">
        <f>'Financials&gt;'!K44</f>
        <v>0.96665459024708356</v>
      </c>
      <c r="L22" s="19">
        <f>'Financials&gt;'!L44</f>
        <v>0.96557637741261582</v>
      </c>
      <c r="N22" s="33">
        <f t="shared" si="2"/>
        <v>0.99048297390652618</v>
      </c>
      <c r="O22" s="19">
        <f t="shared" si="3"/>
        <v>1</v>
      </c>
      <c r="Q22" s="37"/>
    </row>
    <row r="23" spans="2:17" x14ac:dyDescent="0.3">
      <c r="B23" t="s">
        <v>135</v>
      </c>
      <c r="C23" s="33">
        <f>IFERROR('Financials&gt;'!C34/SUM('Financials&gt;'!C48:C49), "-")</f>
        <v>0.54021441524077551</v>
      </c>
      <c r="D23" s="33">
        <f>IFERROR('Financials&gt;'!D34/SUM('Financials&gt;'!D48:D49), "-")</f>
        <v>0.56021858744178032</v>
      </c>
      <c r="E23" s="33">
        <f>IFERROR('Financials&gt;'!E34/SUM('Financials&gt;'!E48:E49), "-")</f>
        <v>0.3267436120103645</v>
      </c>
      <c r="F23" s="33">
        <f>IFERROR('Financials&gt;'!F34/SUM('Financials&gt;'!F48:F49), "-")</f>
        <v>0.51506558040637085</v>
      </c>
      <c r="G23" s="33">
        <f>IFERROR('Financials&gt;'!G34/SUM('Financials&gt;'!G48:G49), "-")</f>
        <v>0.3069453267221029</v>
      </c>
      <c r="H23" s="33">
        <f>IFERROR('Financials&gt;'!H34/SUM('Financials&gt;'!H48:H49), "-")</f>
        <v>0.46609409572188187</v>
      </c>
      <c r="I23" s="33">
        <f>IFERROR('Financials&gt;'!I34/SUM('Financials&gt;'!I48:I49), "-")</f>
        <v>0.38485845546488379</v>
      </c>
      <c r="J23" s="33">
        <f>IFERROR('Financials&gt;'!J34/SUM('Financials&gt;'!J48:J49), "-")</f>
        <v>0.65488587277775168</v>
      </c>
      <c r="K23" s="33">
        <f>IFERROR('Financials&gt;'!K34/SUM('Financials&gt;'!K48:K49), "-")</f>
        <v>0.81260745660519562</v>
      </c>
      <c r="L23" s="33">
        <f>IFERROR('Financials&gt;'!L34/SUM('Financials&gt;'!L48:L49), "-")</f>
        <v>0.55226270836203328</v>
      </c>
      <c r="N23" s="33">
        <f t="shared" si="2"/>
        <v>0.51198961107531404</v>
      </c>
      <c r="O23" s="19">
        <f t="shared" si="3"/>
        <v>0.52763999782357318</v>
      </c>
      <c r="Q23" s="37" t="s">
        <v>140</v>
      </c>
    </row>
    <row r="24" spans="2:17" x14ac:dyDescent="0.3">
      <c r="B24" t="s">
        <v>137</v>
      </c>
      <c r="C24" s="33">
        <f>C22*C23</f>
        <v>0.53935415017730248</v>
      </c>
      <c r="D24" s="33">
        <f t="shared" ref="D24:L24" si="5">D22*D23</f>
        <v>0.56021858744178032</v>
      </c>
      <c r="E24" s="33">
        <f t="shared" si="5"/>
        <v>0.3267436120103645</v>
      </c>
      <c r="F24" s="33">
        <f t="shared" si="5"/>
        <v>0.51506558040637085</v>
      </c>
      <c r="G24" s="33">
        <f t="shared" si="5"/>
        <v>0.3069453267221029</v>
      </c>
      <c r="H24" s="33">
        <f t="shared" si="5"/>
        <v>0.46609409572188187</v>
      </c>
      <c r="I24" s="33">
        <f t="shared" si="5"/>
        <v>0.38485845546488379</v>
      </c>
      <c r="J24" s="33">
        <f t="shared" si="5"/>
        <v>0.63798406903169491</v>
      </c>
      <c r="K24" s="33">
        <f t="shared" si="5"/>
        <v>0.78551072799642008</v>
      </c>
      <c r="L24" s="33">
        <f t="shared" si="5"/>
        <v>0.53325182532029203</v>
      </c>
      <c r="N24" s="33">
        <f t="shared" si="2"/>
        <v>0.50560264302930946</v>
      </c>
      <c r="O24" s="19">
        <f t="shared" si="3"/>
        <v>0.52415870286333144</v>
      </c>
      <c r="Q24" s="37" t="s">
        <v>141</v>
      </c>
    </row>
    <row r="25" spans="2:17" ht="15" thickBot="1" x14ac:dyDescent="0.35">
      <c r="B25" t="s">
        <v>138</v>
      </c>
      <c r="C25" s="35">
        <f>('Financials&gt;'!C19-'Financials&gt;'!C25)/'Financials&gt;'!C22</f>
        <v>10.342510247326686</v>
      </c>
      <c r="D25" s="35">
        <f>('Financials&gt;'!D19-'Financials&gt;'!D25)/'Financials&gt;'!D22</f>
        <v>9.4423066486393434</v>
      </c>
      <c r="E25" s="35">
        <f>('Financials&gt;'!E19-'Financials&gt;'!E25)/'Financials&gt;'!E22</f>
        <v>8.5873522733826153</v>
      </c>
      <c r="F25" s="35">
        <f>('Financials&gt;'!F19-'Financials&gt;'!F25)/'Financials&gt;'!F22</f>
        <v>5.9593599138679574</v>
      </c>
      <c r="G25" s="35">
        <f>('Financials&gt;'!G19-'Financials&gt;'!G25)/'Financials&gt;'!G22</f>
        <v>3.7276004268754797</v>
      </c>
      <c r="H25" s="35">
        <f>('Financials&gt;'!H19-'Financials&gt;'!H25)/'Financials&gt;'!H22</f>
        <v>4.4940639754383325</v>
      </c>
      <c r="I25" s="35">
        <f>('Financials&gt;'!I19-'Financials&gt;'!I25)/'Financials&gt;'!I22</f>
        <v>3.29611055149025</v>
      </c>
      <c r="J25" s="35">
        <f>('Financials&gt;'!J19-'Financials&gt;'!J25)/'Financials&gt;'!J22</f>
        <v>3.971465398201353</v>
      </c>
      <c r="K25" s="35">
        <f>('Financials&gt;'!K19-'Financials&gt;'!K25)/'Financials&gt;'!K22</f>
        <v>9.5568870160653141</v>
      </c>
      <c r="L25" s="35">
        <f>('Financials&gt;'!L19-'Financials&gt;'!L25)/'Financials&gt;'!L22</f>
        <v>15.685028526460751</v>
      </c>
      <c r="N25" s="35">
        <f t="shared" si="2"/>
        <v>7.5062684977748075</v>
      </c>
      <c r="O25" s="19">
        <f t="shared" si="3"/>
        <v>7.2733560936252868</v>
      </c>
      <c r="Q25" s="38" t="s">
        <v>142</v>
      </c>
    </row>
    <row r="26" spans="2:17" x14ac:dyDescent="0.3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5"/>
      <c r="O26" s="44"/>
    </row>
    <row r="27" spans="2:17" x14ac:dyDescent="0.3">
      <c r="B27" t="s">
        <v>143</v>
      </c>
      <c r="C27" s="35">
        <f>IFERROR('Financials&gt;'!C7/'Financials&gt;'!C60, "-")</f>
        <v>20.119918266350599</v>
      </c>
      <c r="D27" s="35">
        <f>IFERROR('Financials&gt;'!D7/'Financials&gt;'!D60, "-")</f>
        <v>19.160353236640844</v>
      </c>
      <c r="E27" s="35">
        <f>IFERROR('Financials&gt;'!E7/'Financials&gt;'!E60, "-")</f>
        <v>14.655712224718874</v>
      </c>
      <c r="F27" s="35">
        <f>IFERROR('Financials&gt;'!F7/'Financials&gt;'!F60, "-")</f>
        <v>15.894698773489607</v>
      </c>
      <c r="G27" s="35">
        <f>IFERROR('Financials&gt;'!G7/'Financials&gt;'!G60, "-")</f>
        <v>23.366617170976728</v>
      </c>
      <c r="H27" s="35">
        <f>IFERROR('Financials&gt;'!H7/'Financials&gt;'!H60, "-")</f>
        <v>19.701330853658153</v>
      </c>
      <c r="I27" s="35">
        <f>IFERROR('Financials&gt;'!I7/'Financials&gt;'!I60, "-")</f>
        <v>22.379917570317598</v>
      </c>
      <c r="J27" s="35">
        <f>IFERROR('Financials&gt;'!J7/'Financials&gt;'!J60, "-")</f>
        <v>21.982947610142858</v>
      </c>
      <c r="K27" s="35">
        <f>IFERROR('Financials&gt;'!K7/'Financials&gt;'!K60, "-")</f>
        <v>25.602642756016991</v>
      </c>
      <c r="L27" s="35">
        <f>IFERROR('Financials&gt;'!L7/'Financials&gt;'!L60, "-")</f>
        <v>33.189538043478258</v>
      </c>
      <c r="N27" s="35">
        <f t="shared" si="2"/>
        <v>21.605367650579048</v>
      </c>
      <c r="O27" s="35">
        <f t="shared" si="3"/>
        <v>21.051432938246727</v>
      </c>
      <c r="Q27" t="s">
        <v>144</v>
      </c>
    </row>
    <row r="28" spans="2:17" x14ac:dyDescent="0.3">
      <c r="B28" t="s">
        <v>145</v>
      </c>
      <c r="C28" s="35">
        <f>IFERROR('Financials&gt;'!C7/'Financials&gt;'!C51, "-")</f>
        <v>2.3769603927858673</v>
      </c>
      <c r="D28" s="35">
        <f>IFERROR('Financials&gt;'!D7/'Financials&gt;'!D51, "-")</f>
        <v>1.9842807783040648</v>
      </c>
      <c r="E28" s="35">
        <f>IFERROR('Financials&gt;'!E7/'Financials&gt;'!E51, "-")</f>
        <v>2.0414780318629697</v>
      </c>
      <c r="F28" s="35">
        <f>IFERROR('Financials&gt;'!F7/'Financials&gt;'!F51, "-")</f>
        <v>2.1667847518227492</v>
      </c>
      <c r="G28" s="35">
        <f>IFERROR('Financials&gt;'!G7/'Financials&gt;'!G51, "-")</f>
        <v>1.9731057108276859</v>
      </c>
      <c r="H28" s="35">
        <f>IFERROR('Financials&gt;'!H7/'Financials&gt;'!H51, "-")</f>
        <v>1.7323684804395676</v>
      </c>
      <c r="I28" s="35">
        <f>IFERROR('Financials&gt;'!I7/'Financials&gt;'!I51, "-")</f>
        <v>2.0170312149360217</v>
      </c>
      <c r="J28" s="35">
        <f>IFERROR('Financials&gt;'!J7/'Financials&gt;'!J51, "-")</f>
        <v>2.2286057258733614</v>
      </c>
      <c r="K28" s="35">
        <f>IFERROR('Financials&gt;'!K7/'Financials&gt;'!K51, "-")</f>
        <v>2.4473804408505742</v>
      </c>
      <c r="L28" s="35">
        <f>IFERROR('Financials&gt;'!L7/'Financials&gt;'!L51, "-")</f>
        <v>2.3228766594994954</v>
      </c>
      <c r="N28" s="35">
        <f t="shared" si="2"/>
        <v>2.1290872187202359</v>
      </c>
      <c r="O28" s="35">
        <f t="shared" si="3"/>
        <v>2.1041313918428592</v>
      </c>
      <c r="Q28" t="s">
        <v>149</v>
      </c>
    </row>
    <row r="29" spans="2:17" x14ac:dyDescent="0.3">
      <c r="B29" t="s">
        <v>146</v>
      </c>
      <c r="C29" s="35">
        <f>IFERROR('Financials&gt;'!C7/'Financials&gt;'!C61, "-")</f>
        <v>8.3613381173839922</v>
      </c>
      <c r="D29" s="35">
        <f>IFERROR('Financials&gt;'!D7/'Financials&gt;'!D61, "-")</f>
        <v>7.6867643466738649</v>
      </c>
      <c r="E29" s="35">
        <f>IFERROR('Financials&gt;'!E7/'Financials&gt;'!E61, "-")</f>
        <v>6.9190051742350009</v>
      </c>
      <c r="F29" s="35">
        <f>IFERROR('Financials&gt;'!F7/'Financials&gt;'!F61, "-")</f>
        <v>7.7392856309817084</v>
      </c>
      <c r="G29" s="35">
        <f>IFERROR('Financials&gt;'!G7/'Financials&gt;'!G61, "-")</f>
        <v>6.9698269049637886</v>
      </c>
      <c r="H29" s="35">
        <f>IFERROR('Financials&gt;'!H7/'Financials&gt;'!H61, "-")</f>
        <v>6.9217098811563442</v>
      </c>
      <c r="I29" s="35">
        <f>IFERROR('Financials&gt;'!I7/'Financials&gt;'!I61, "-")</f>
        <v>7.9015588385356104</v>
      </c>
      <c r="J29" s="35">
        <f>IFERROR('Financials&gt;'!J7/'Financials&gt;'!J61, "-")</f>
        <v>8.4888641723217457</v>
      </c>
      <c r="K29" s="35">
        <f>IFERROR('Financials&gt;'!K7/'Financials&gt;'!K61, "-")</f>
        <v>9.0821126642671803</v>
      </c>
      <c r="L29" s="35">
        <f>IFERROR('Financials&gt;'!L7/'Financials&gt;'!L61, "-")</f>
        <v>9.3019738094734397</v>
      </c>
      <c r="N29" s="35">
        <f t="shared" si="2"/>
        <v>7.9372439539992667</v>
      </c>
      <c r="O29" s="35">
        <f t="shared" si="3"/>
        <v>7.8204222347586594</v>
      </c>
      <c r="Q29" t="s">
        <v>150</v>
      </c>
    </row>
    <row r="30" spans="2:17" x14ac:dyDescent="0.3">
      <c r="B30" t="s">
        <v>147</v>
      </c>
      <c r="C30" s="35">
        <f>IFERROR('Financials&gt;'!C7/'Financials&gt;'!C54, "-")</f>
        <v>2.546312771514708</v>
      </c>
      <c r="D30" s="35">
        <f>IFERROR('Financials&gt;'!D7/'Financials&gt;'!D54, "-")</f>
        <v>2.8109343484246239</v>
      </c>
      <c r="E30" s="35">
        <f>IFERROR('Financials&gt;'!E7/'Financials&gt;'!E54, "-")</f>
        <v>2.4012948768781421</v>
      </c>
      <c r="F30" s="35">
        <f>IFERROR('Financials&gt;'!F7/'Financials&gt;'!F54, "-")</f>
        <v>2.7144319562092578</v>
      </c>
      <c r="G30" s="35">
        <f>IFERROR('Financials&gt;'!G7/'Financials&gt;'!G54, "-")</f>
        <v>2.0539205744067566</v>
      </c>
      <c r="H30" s="35">
        <f>IFERROR('Financials&gt;'!H7/'Financials&gt;'!H54, "-")</f>
        <v>1.8008727134726064</v>
      </c>
      <c r="I30" s="35">
        <f>IFERROR('Financials&gt;'!I7/'Financials&gt;'!I54, "-")</f>
        <v>2.0053488717943728</v>
      </c>
      <c r="J30" s="35">
        <f>IFERROR('Financials&gt;'!J7/'Financials&gt;'!J54, "-")</f>
        <v>2.6193791539294131</v>
      </c>
      <c r="K30" s="35">
        <f>IFERROR('Financials&gt;'!K7/'Financials&gt;'!K54, "-")</f>
        <v>3.5784804386362699</v>
      </c>
      <c r="L30" s="35">
        <f>IFERROR('Financials&gt;'!L7/'Financials&gt;'!L54, "-")</f>
        <v>3.8004010475638954</v>
      </c>
      <c r="N30" s="35">
        <f t="shared" si="2"/>
        <v>2.6331376752830042</v>
      </c>
      <c r="O30" s="35">
        <f t="shared" si="3"/>
        <v>2.5828459627220606</v>
      </c>
      <c r="Q30" t="s">
        <v>151</v>
      </c>
    </row>
    <row r="31" spans="2:17" x14ac:dyDescent="0.3">
      <c r="B31" t="s">
        <v>148</v>
      </c>
      <c r="C31" s="35">
        <f>IFERROR('Financials&gt;'!C7/SUM('Financials&gt;'!C48:C49), "-")</f>
        <v>3.4583567493379874</v>
      </c>
      <c r="D31" s="35">
        <f>IFERROR('Financials&gt;'!D7/SUM('Financials&gt;'!D48:D49), "-")</f>
        <v>4.6449144180459854</v>
      </c>
      <c r="E31" s="35">
        <f>IFERROR('Financials&gt;'!E7/SUM('Financials&gt;'!E48:E49), "-")</f>
        <v>3.0551908765475422</v>
      </c>
      <c r="F31" s="35">
        <f>IFERROR('Financials&gt;'!F7/SUM('Financials&gt;'!F48:F49), "-")</f>
        <v>5.0172915853821474</v>
      </c>
      <c r="G31" s="35">
        <f>IFERROR('Financials&gt;'!G7/SUM('Financials&gt;'!G48:G49), "-")</f>
        <v>4.1387770133514525</v>
      </c>
      <c r="H31" s="35">
        <f>IFERROR('Financials&gt;'!H7/SUM('Financials&gt;'!H48:H49), "-")</f>
        <v>4.5214403678625628</v>
      </c>
      <c r="I31" s="35">
        <f>IFERROR('Financials&gt;'!I7/SUM('Financials&gt;'!I48:I49), "-")</f>
        <v>6.2487852671963351</v>
      </c>
      <c r="J31" s="35">
        <f>IFERROR('Financials&gt;'!J7/SUM('Financials&gt;'!J48:J49), "-")</f>
        <v>7.6335680916398054</v>
      </c>
      <c r="K31" s="35">
        <f>IFERROR('Financials&gt;'!K7/SUM('Financials&gt;'!K48:K49), "-")</f>
        <v>5.1110012011587651</v>
      </c>
      <c r="L31" s="35">
        <f>IFERROR('Financials&gt;'!L7/SUM('Financials&gt;'!L48:L49), "-")</f>
        <v>3.7857745557239291</v>
      </c>
      <c r="N31" s="35">
        <f t="shared" si="2"/>
        <v>4.7615100126246501</v>
      </c>
      <c r="O31" s="35">
        <f t="shared" si="3"/>
        <v>4.5831773929542745</v>
      </c>
      <c r="Q31" t="s">
        <v>152</v>
      </c>
    </row>
    <row r="32" spans="2:17" x14ac:dyDescent="0.3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4"/>
    </row>
    <row r="33" spans="2:15" x14ac:dyDescent="0.3">
      <c r="B33" t="s">
        <v>153</v>
      </c>
      <c r="C33" s="39">
        <f>IFERROR(365/C27, 0)</f>
        <v>18.141226776772818</v>
      </c>
      <c r="D33" s="39">
        <f t="shared" ref="D33:L33" si="6">IFERROR(365/D27, 0)</f>
        <v>19.049753180019717</v>
      </c>
      <c r="E33" s="39">
        <f t="shared" si="6"/>
        <v>24.904964999543136</v>
      </c>
      <c r="F33" s="39">
        <f t="shared" si="6"/>
        <v>22.963631157878556</v>
      </c>
      <c r="G33" s="39">
        <f t="shared" si="6"/>
        <v>15.620575170519771</v>
      </c>
      <c r="H33" s="39">
        <f t="shared" si="6"/>
        <v>18.52666719376608</v>
      </c>
      <c r="I33" s="39">
        <f t="shared" si="6"/>
        <v>16.309264717046954</v>
      </c>
      <c r="J33" s="39">
        <f t="shared" si="6"/>
        <v>16.603778823163378</v>
      </c>
      <c r="K33" s="39">
        <f t="shared" si="6"/>
        <v>14.256340780063407</v>
      </c>
      <c r="L33" s="39">
        <f t="shared" si="6"/>
        <v>10.997441408248902</v>
      </c>
      <c r="N33" s="39">
        <f>IFERROR(AVERAGE(C33:L33), 0)</f>
        <v>17.737364420702271</v>
      </c>
      <c r="O33" s="39">
        <f t="shared" si="3"/>
        <v>17.372502799968096</v>
      </c>
    </row>
    <row r="34" spans="2:15" x14ac:dyDescent="0.3">
      <c r="B34" t="s">
        <v>154</v>
      </c>
      <c r="C34" s="39">
        <f>IFERROR(365/C28, 0)</f>
        <v>153.55745981623585</v>
      </c>
      <c r="D34" s="39">
        <f t="shared" ref="D34:L34" si="7">IFERROR(365/D28, 0)</f>
        <v>183.94574194885871</v>
      </c>
      <c r="E34" s="39">
        <f t="shared" si="7"/>
        <v>178.79202925682029</v>
      </c>
      <c r="F34" s="39">
        <f t="shared" si="7"/>
        <v>168.45235766633192</v>
      </c>
      <c r="G34" s="39">
        <f t="shared" si="7"/>
        <v>184.98755439052903</v>
      </c>
      <c r="H34" s="39">
        <f t="shared" si="7"/>
        <v>210.69420514242194</v>
      </c>
      <c r="I34" s="39">
        <f t="shared" si="7"/>
        <v>180.95902398395825</v>
      </c>
      <c r="J34" s="39">
        <f t="shared" si="7"/>
        <v>163.77953074537726</v>
      </c>
      <c r="K34" s="39">
        <f t="shared" si="7"/>
        <v>149.13905247732802</v>
      </c>
      <c r="L34" s="39">
        <f t="shared" si="7"/>
        <v>157.13275111156597</v>
      </c>
      <c r="N34" s="39">
        <f t="shared" si="2"/>
        <v>173.14397065394274</v>
      </c>
      <c r="O34" s="39">
        <f t="shared" si="3"/>
        <v>173.6221934615761</v>
      </c>
    </row>
    <row r="35" spans="2:15" x14ac:dyDescent="0.3">
      <c r="B35" t="s">
        <v>155</v>
      </c>
      <c r="C35" s="39">
        <f>IFERROR(365/C29, 0)</f>
        <v>43.653299851746382</v>
      </c>
      <c r="D35" s="39">
        <f t="shared" ref="D35:L35" si="8">IFERROR(365/D29, 0)</f>
        <v>47.484218786795374</v>
      </c>
      <c r="E35" s="39">
        <f t="shared" si="8"/>
        <v>52.753248596949661</v>
      </c>
      <c r="F35" s="39">
        <f t="shared" si="8"/>
        <v>47.161975588398164</v>
      </c>
      <c r="G35" s="39">
        <f t="shared" si="8"/>
        <v>52.368588915752468</v>
      </c>
      <c r="H35" s="39">
        <f t="shared" si="8"/>
        <v>52.732634893247351</v>
      </c>
      <c r="I35" s="39">
        <f t="shared" si="8"/>
        <v>46.193416698982041</v>
      </c>
      <c r="J35" s="39">
        <f t="shared" si="8"/>
        <v>42.997507392107408</v>
      </c>
      <c r="K35" s="39">
        <f t="shared" si="8"/>
        <v>40.188887045638872</v>
      </c>
      <c r="L35" s="39">
        <f t="shared" si="8"/>
        <v>39.238983841071651</v>
      </c>
      <c r="N35" s="39">
        <f t="shared" si="2"/>
        <v>46.477276161068936</v>
      </c>
      <c r="O35" s="39">
        <f t="shared" si="3"/>
        <v>46.677696143690099</v>
      </c>
    </row>
    <row r="36" spans="2:15" x14ac:dyDescent="0.3">
      <c r="B36" t="s">
        <v>156</v>
      </c>
      <c r="C36" s="39">
        <f>SUM(C33,C35)-C34</f>
        <v>-91.762933187716641</v>
      </c>
      <c r="D36" s="39">
        <f t="shared" ref="D36:L36" si="9">SUM(D33,D35)-D34</f>
        <v>-117.41176998204362</v>
      </c>
      <c r="E36" s="39">
        <f t="shared" si="9"/>
        <v>-101.13381566032749</v>
      </c>
      <c r="F36" s="39">
        <f t="shared" si="9"/>
        <v>-98.326750920055204</v>
      </c>
      <c r="G36" s="39">
        <f t="shared" si="9"/>
        <v>-116.99839030425679</v>
      </c>
      <c r="H36" s="39">
        <f t="shared" si="9"/>
        <v>-139.43490305540851</v>
      </c>
      <c r="I36" s="39">
        <f t="shared" si="9"/>
        <v>-118.45634256792925</v>
      </c>
      <c r="J36" s="39">
        <f t="shared" si="9"/>
        <v>-104.17824453010647</v>
      </c>
      <c r="K36" s="39">
        <f t="shared" si="9"/>
        <v>-94.693824651625746</v>
      </c>
      <c r="L36" s="39">
        <f t="shared" si="9"/>
        <v>-106.89632586224542</v>
      </c>
      <c r="N36" s="39">
        <f t="shared" si="2"/>
        <v>-108.92933007217152</v>
      </c>
      <c r="O36" s="39">
        <f t="shared" si="3"/>
        <v>-105.53728519617594</v>
      </c>
    </row>
    <row r="37" spans="2:15" x14ac:dyDescent="0.3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4"/>
    </row>
    <row r="38" spans="2:15" x14ac:dyDescent="0.3">
      <c r="B38" t="s">
        <v>157</v>
      </c>
      <c r="C38" s="33">
        <f>IFERROR('Financials&gt;'!C80/'Financials&gt;'!C7, "0")</f>
        <v>0.14360971207739662</v>
      </c>
      <c r="D38" s="33">
        <f>IFERROR('Financials&gt;'!D80/'Financials&gt;'!D7, "0")</f>
        <v>0.12404497255040564</v>
      </c>
      <c r="E38" s="33">
        <f>IFERROR('Financials&gt;'!E80/'Financials&gt;'!E7, "0")</f>
        <v>5.9759805574664121E-2</v>
      </c>
      <c r="F38" s="33">
        <f>IFERROR('Financials&gt;'!F80/'Financials&gt;'!F7, "0")</f>
        <v>3.8653579670555313E-2</v>
      </c>
      <c r="G38" s="33">
        <f>IFERROR('Financials&gt;'!G80/'Financials&gt;'!G7, "0")</f>
        <v>0.12141665635964458</v>
      </c>
      <c r="H38" s="33">
        <f>IFERROR('Financials&gt;'!H80/'Financials&gt;'!H7, "0")</f>
        <v>0.11572300859005244</v>
      </c>
      <c r="I38" s="33">
        <f>IFERROR('Financials&gt;'!I80/'Financials&gt;'!I7, "0")</f>
        <v>1.2684338598291522E-2</v>
      </c>
      <c r="J38" s="33">
        <f>IFERROR('Financials&gt;'!J80/'Financials&gt;'!J7, "0")</f>
        <v>9.3248786148573667E-2</v>
      </c>
      <c r="K38" s="33">
        <f>IFERROR('Financials&gt;'!K80/'Financials&gt;'!K7, "0")</f>
        <v>0.17335766423357665</v>
      </c>
      <c r="L38" s="33">
        <f>IFERROR('Financials&gt;'!L80/'Financials&gt;'!L7, "0")</f>
        <v>0.16206233866657568</v>
      </c>
      <c r="N38" s="33">
        <f t="shared" si="2"/>
        <v>0.10445608624697363</v>
      </c>
      <c r="O38" s="19">
        <f t="shared" si="3"/>
        <v>0.11856983247484851</v>
      </c>
    </row>
    <row r="39" spans="2:15" x14ac:dyDescent="0.3">
      <c r="B39" t="s">
        <v>158</v>
      </c>
      <c r="C39" s="33">
        <f>IFERROR('Financials&gt;'!C80/'Financials&gt;'!C65, "0")</f>
        <v>0.14899075217760099</v>
      </c>
      <c r="D39" s="33">
        <f>IFERROR('Financials&gt;'!D80/'Financials&gt;'!D65, "0")</f>
        <v>0.12273077928285075</v>
      </c>
      <c r="E39" s="33">
        <f>IFERROR('Financials&gt;'!E80/'Financials&gt;'!E65, "0")</f>
        <v>5.3250110386320486E-2</v>
      </c>
      <c r="F39" s="33">
        <f>IFERROR('Financials&gt;'!F80/'Financials&gt;'!F65, "0")</f>
        <v>3.8177516390146542E-2</v>
      </c>
      <c r="G39" s="33">
        <f>IFERROR('Financials&gt;'!G80/'Financials&gt;'!G65, "0")</f>
        <v>9.9000750797857404E-2</v>
      </c>
      <c r="H39" s="33">
        <f>IFERROR('Financials&gt;'!H80/'Financials&gt;'!H65, "0")</f>
        <v>8.4629819997903213E-2</v>
      </c>
      <c r="I39" s="33">
        <f>IFERROR('Financials&gt;'!I80/'Financials&gt;'!I65, "0")</f>
        <v>1.073355621163692E-2</v>
      </c>
      <c r="J39" s="33">
        <f>IFERROR('Financials&gt;'!J80/'Financials&gt;'!J65, "0")</f>
        <v>9.639517425935408E-2</v>
      </c>
      <c r="K39" s="33">
        <f>IFERROR('Financials&gt;'!K80/'Financials&gt;'!K65, "0")</f>
        <v>0.20361495016521389</v>
      </c>
      <c r="L39" s="33">
        <f>IFERROR('Financials&gt;'!L80/'Financials&gt;'!L65, "0")</f>
        <v>0.18902680032787494</v>
      </c>
      <c r="N39" s="33">
        <f t="shared" si="2"/>
        <v>0.10465502099967594</v>
      </c>
      <c r="O39" s="19">
        <f t="shared" si="3"/>
        <v>9.7697962528605742E-2</v>
      </c>
    </row>
    <row r="40" spans="2:15" x14ac:dyDescent="0.3">
      <c r="B40" t="s">
        <v>159</v>
      </c>
      <c r="C40" s="33">
        <f>IFERROR('Financials&gt;'!C80/'Financials&gt;'!C50, "0")</f>
        <v>0.56534057978118779</v>
      </c>
      <c r="D40" s="33">
        <f>IFERROR('Financials&gt;'!D80/'Financials&gt;'!D50, "0")</f>
        <v>0.42560185883717339</v>
      </c>
      <c r="E40" s="33">
        <f>IFERROR('Financials&gt;'!E80/'Financials&gt;'!E50, "0")</f>
        <v>0.19587305159826587</v>
      </c>
      <c r="F40" s="33">
        <f>IFERROR('Financials&gt;'!F80/'Financials&gt;'!F50, "0")</f>
        <v>0.1099219460940742</v>
      </c>
      <c r="G40" s="33">
        <f>IFERROR('Financials&gt;'!G80/'Financials&gt;'!G50, "0")</f>
        <v>0.25401554192386361</v>
      </c>
      <c r="H40" s="33">
        <f>IFERROR('Financials&gt;'!H80/'Financials&gt;'!H50, "0")</f>
        <v>0.20338341005738594</v>
      </c>
      <c r="I40" s="33">
        <f>IFERROR('Financials&gt;'!I80/'Financials&gt;'!I50, "0")</f>
        <v>2.4117605968438302E-2</v>
      </c>
      <c r="J40" s="33">
        <f>IFERROR('Financials&gt;'!J80/'Financials&gt;'!J50, "0")</f>
        <v>0.24055008953614193</v>
      </c>
      <c r="K40" s="33">
        <f>IFERROR('Financials&gt;'!K80/'Financials&gt;'!K50, "0")</f>
        <v>0.70144689737470167</v>
      </c>
      <c r="L40" s="33">
        <f>IFERROR('Financials&gt;'!L80/'Financials&gt;'!L50, "0")</f>
        <v>0.99605814928711212</v>
      </c>
      <c r="N40" s="33">
        <f t="shared" si="2"/>
        <v>0.37163091304583445</v>
      </c>
      <c r="O40" s="19">
        <f t="shared" si="3"/>
        <v>0.24728281573000277</v>
      </c>
    </row>
  </sheetData>
  <mergeCells count="1">
    <mergeCell ref="B2:O2"/>
  </mergeCells>
  <pageMargins left="0.7" right="0.7" top="0.75" bottom="0.75" header="0.3" footer="0.3"/>
  <pageSetup scale="62" fitToHeight="0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C2DAA88E-77BE-401F-9CA9-A42FBFD66DB2}">
          <x14:colorSeries theme="7" tint="0.59999389629810485"/>
          <x14:colorNegative rgb="FF0070C0"/>
          <x14:colorAxis rgb="FF000000"/>
          <x14:colorMarkers theme="1"/>
          <x14:colorFirst rgb="FF0070C0"/>
          <x14:colorLast rgb="FF0070C0"/>
          <x14:colorHigh rgb="FF0070C0"/>
          <x14:colorLow rgb="FF0070C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D66918A2-2AA3-43A3-9A68-0CF4697CEA97}">
          <x14:colorSeries theme="7" tint="0.59999389629810485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00CF-912A-45B7-ABFF-2AF56D604A07}">
  <sheetPr>
    <tabColor rgb="FF00B050"/>
  </sheetPr>
  <dimension ref="B2:P36"/>
  <sheetViews>
    <sheetView showGridLines="0" workbookViewId="0">
      <selection activeCell="C27" sqref="C27"/>
    </sheetView>
  </sheetViews>
  <sheetFormatPr defaultRowHeight="14.4" x14ac:dyDescent="0.3"/>
  <cols>
    <col min="1" max="1" width="1.88671875" customWidth="1"/>
    <col min="2" max="2" width="22.5546875" bestFit="1" customWidth="1"/>
    <col min="3" max="4" width="12.77734375" customWidth="1"/>
    <col min="8" max="8" width="17.44140625" bestFit="1" customWidth="1"/>
    <col min="9" max="9" width="12" bestFit="1" customWidth="1"/>
    <col min="10" max="10" width="13.44140625" bestFit="1" customWidth="1"/>
    <col min="11" max="12" width="12" bestFit="1" customWidth="1"/>
    <col min="13" max="13" width="51.77734375" bestFit="1" customWidth="1"/>
    <col min="14" max="14" width="12" bestFit="1" customWidth="1"/>
    <col min="15" max="16" width="12.109375" bestFit="1" customWidth="1"/>
  </cols>
  <sheetData>
    <row r="2" spans="2:13" x14ac:dyDescent="0.3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2:13" x14ac:dyDescent="0.3">
      <c r="B3" s="50" t="s">
        <v>163</v>
      </c>
      <c r="C3" s="51" t="s">
        <v>55</v>
      </c>
      <c r="D3" s="51" t="s">
        <v>1</v>
      </c>
      <c r="E3" s="51" t="s">
        <v>165</v>
      </c>
    </row>
    <row r="4" spans="2:13" x14ac:dyDescent="0.3">
      <c r="B4" s="49">
        <v>1</v>
      </c>
      <c r="C4" s="55">
        <v>2014</v>
      </c>
      <c r="D4" s="52">
        <v>232834</v>
      </c>
    </row>
    <row r="5" spans="2:13" ht="15" thickBot="1" x14ac:dyDescent="0.35">
      <c r="B5" s="49">
        <f>B4+1</f>
        <v>2</v>
      </c>
      <c r="C5" s="55">
        <f>C4+1</f>
        <v>2015</v>
      </c>
      <c r="D5" s="52">
        <v>263159</v>
      </c>
      <c r="E5" s="33">
        <f>D5/D4-1</f>
        <v>0.13024300574658332</v>
      </c>
    </row>
    <row r="6" spans="2:13" x14ac:dyDescent="0.3">
      <c r="B6" s="49">
        <f t="shared" ref="B6:B15" si="0">B5+1</f>
        <v>3</v>
      </c>
      <c r="C6" s="55">
        <f t="shared" ref="C6:C20" si="1">C5+1</f>
        <v>2016</v>
      </c>
      <c r="D6" s="52">
        <v>273046</v>
      </c>
      <c r="E6" s="33">
        <f t="shared" ref="E6:E20" si="2">D6/D5-1</f>
        <v>3.757044220414274E-2</v>
      </c>
      <c r="I6" s="63">
        <v>13</v>
      </c>
      <c r="J6" s="64">
        <v>2026</v>
      </c>
      <c r="K6" s="68">
        <f>$I$35+B16*$I$36</f>
        <v>398918.6969696969</v>
      </c>
      <c r="L6" s="71">
        <f>K6/D15-1</f>
        <v>-9.2737700065506967E-2</v>
      </c>
      <c r="M6" s="8" t="s">
        <v>192</v>
      </c>
    </row>
    <row r="7" spans="2:13" x14ac:dyDescent="0.3">
      <c r="B7" s="49">
        <f t="shared" si="0"/>
        <v>4</v>
      </c>
      <c r="C7" s="55">
        <f t="shared" si="1"/>
        <v>2017</v>
      </c>
      <c r="D7" s="52">
        <v>269693</v>
      </c>
      <c r="E7" s="33">
        <f t="shared" si="2"/>
        <v>-1.2279982127553546E-2</v>
      </c>
      <c r="I7" s="65">
        <v>14</v>
      </c>
      <c r="J7" s="62">
        <v>2027</v>
      </c>
      <c r="K7" s="69">
        <f t="shared" ref="K7:K10" si="3">$I$35+B17*$I$36</f>
        <v>413608.56060606055</v>
      </c>
      <c r="L7" s="72">
        <f t="shared" ref="L7:L10" si="4">K7/D16-1</f>
        <v>3.6824204400425886E-2</v>
      </c>
    </row>
    <row r="8" spans="2:13" x14ac:dyDescent="0.3">
      <c r="B8" s="49">
        <f t="shared" si="0"/>
        <v>5</v>
      </c>
      <c r="C8" s="55">
        <f t="shared" si="1"/>
        <v>2018</v>
      </c>
      <c r="D8" s="52">
        <v>291550</v>
      </c>
      <c r="E8" s="33">
        <f t="shared" si="2"/>
        <v>8.1044001883623151E-2</v>
      </c>
      <c r="I8" s="65">
        <v>15</v>
      </c>
      <c r="J8" s="62">
        <v>2028</v>
      </c>
      <c r="K8" s="69">
        <f t="shared" si="3"/>
        <v>428298.4242424242</v>
      </c>
      <c r="L8" s="72">
        <f t="shared" si="4"/>
        <v>3.5516343314651477E-2</v>
      </c>
    </row>
    <row r="9" spans="2:13" x14ac:dyDescent="0.3">
      <c r="B9" s="49">
        <f t="shared" si="0"/>
        <v>6</v>
      </c>
      <c r="C9" s="55">
        <f t="shared" si="1"/>
        <v>2019</v>
      </c>
      <c r="D9" s="52">
        <v>301938</v>
      </c>
      <c r="E9" s="33">
        <f t="shared" si="2"/>
        <v>3.5630252100840254E-2</v>
      </c>
      <c r="I9" s="65">
        <v>16</v>
      </c>
      <c r="J9" s="62">
        <v>2029</v>
      </c>
      <c r="K9" s="69">
        <f t="shared" si="3"/>
        <v>442988.28787878784</v>
      </c>
      <c r="L9" s="72">
        <f t="shared" si="4"/>
        <v>3.4298196782645451E-2</v>
      </c>
    </row>
    <row r="10" spans="2:13" ht="15" thickBot="1" x14ac:dyDescent="0.35">
      <c r="B10" s="49">
        <f t="shared" si="0"/>
        <v>7</v>
      </c>
      <c r="C10" s="55">
        <f t="shared" si="1"/>
        <v>2020</v>
      </c>
      <c r="D10" s="52">
        <v>261068</v>
      </c>
      <c r="E10" s="33">
        <f t="shared" si="2"/>
        <v>-0.13535891474408657</v>
      </c>
      <c r="I10" s="66">
        <v>17</v>
      </c>
      <c r="J10" s="67">
        <v>2030</v>
      </c>
      <c r="K10" s="70">
        <f t="shared" si="3"/>
        <v>457678.15151515149</v>
      </c>
      <c r="L10" s="73">
        <f t="shared" si="4"/>
        <v>3.3160839774579287E-2</v>
      </c>
    </row>
    <row r="11" spans="2:13" x14ac:dyDescent="0.3">
      <c r="B11" s="49">
        <f t="shared" si="0"/>
        <v>8</v>
      </c>
      <c r="C11" s="55">
        <f t="shared" si="1"/>
        <v>2021</v>
      </c>
      <c r="D11" s="52">
        <v>249795</v>
      </c>
      <c r="E11" s="33">
        <f t="shared" si="2"/>
        <v>-4.3180320835950803E-2</v>
      </c>
    </row>
    <row r="12" spans="2:13" x14ac:dyDescent="0.3">
      <c r="B12" s="49">
        <f t="shared" si="0"/>
        <v>9</v>
      </c>
      <c r="C12" s="55">
        <f t="shared" si="1"/>
        <v>2022</v>
      </c>
      <c r="D12" s="52">
        <v>278454</v>
      </c>
      <c r="E12" s="33">
        <f t="shared" si="2"/>
        <v>0.11473007866450491</v>
      </c>
    </row>
    <row r="13" spans="2:13" x14ac:dyDescent="0.3">
      <c r="B13" s="49">
        <f t="shared" si="0"/>
        <v>10</v>
      </c>
      <c r="C13" s="55">
        <f t="shared" si="1"/>
        <v>2023</v>
      </c>
      <c r="D13" s="52">
        <v>345967</v>
      </c>
      <c r="E13" s="33">
        <f t="shared" si="2"/>
        <v>0.24245656374122837</v>
      </c>
    </row>
    <row r="14" spans="2:13" x14ac:dyDescent="0.3">
      <c r="B14" s="49">
        <f t="shared" si="0"/>
        <v>11</v>
      </c>
      <c r="C14" s="55">
        <f t="shared" si="1"/>
        <v>2024</v>
      </c>
      <c r="D14" s="52">
        <v>434016</v>
      </c>
      <c r="E14" s="33">
        <f t="shared" si="2"/>
        <v>0.25450115184396194</v>
      </c>
    </row>
    <row r="15" spans="2:13" x14ac:dyDescent="0.3">
      <c r="B15" s="49">
        <f t="shared" si="0"/>
        <v>12</v>
      </c>
      <c r="C15" s="55">
        <f t="shared" si="1"/>
        <v>2025</v>
      </c>
      <c r="D15" s="52">
        <v>439695</v>
      </c>
      <c r="E15" s="33">
        <f t="shared" si="2"/>
        <v>1.3084771068347711E-2</v>
      </c>
    </row>
    <row r="16" spans="2:13" x14ac:dyDescent="0.3">
      <c r="B16" s="49">
        <v>13</v>
      </c>
      <c r="C16" s="56">
        <f t="shared" si="1"/>
        <v>2026</v>
      </c>
      <c r="D16" s="61">
        <f>FORECAST(B16,$D$4:$D$15,$B$4:$B$15)</f>
        <v>398918.6969696969</v>
      </c>
      <c r="E16" s="33">
        <f t="shared" si="2"/>
        <v>-9.2737700065506967E-2</v>
      </c>
    </row>
    <row r="17" spans="2:13" x14ac:dyDescent="0.3">
      <c r="B17" s="49">
        <v>14</v>
      </c>
      <c r="C17" s="56">
        <f t="shared" si="1"/>
        <v>2027</v>
      </c>
      <c r="D17" s="61">
        <f>FORECAST(B17,$D$4:$D$15,$B$4:$B$15)</f>
        <v>413608.56060606055</v>
      </c>
      <c r="E17" s="33">
        <f t="shared" si="2"/>
        <v>3.6824204400425886E-2</v>
      </c>
    </row>
    <row r="18" spans="2:13" x14ac:dyDescent="0.3">
      <c r="B18" s="49">
        <v>15</v>
      </c>
      <c r="C18" s="56">
        <f t="shared" si="1"/>
        <v>2028</v>
      </c>
      <c r="D18" s="61">
        <f>FORECAST(B18,$D$4:$D$15,$B$4:$B$15)</f>
        <v>428298.4242424242</v>
      </c>
      <c r="E18" s="33">
        <f t="shared" si="2"/>
        <v>3.5516343314651477E-2</v>
      </c>
    </row>
    <row r="19" spans="2:13" x14ac:dyDescent="0.3">
      <c r="B19" s="49">
        <v>16</v>
      </c>
      <c r="C19" s="56">
        <f t="shared" si="1"/>
        <v>2029</v>
      </c>
      <c r="D19" s="61">
        <f t="shared" ref="D19:D20" si="5">FORECAST(B19,$D$4:$D$15,$B$4:$B$15)</f>
        <v>442988.28787878784</v>
      </c>
      <c r="E19" s="33">
        <f t="shared" si="2"/>
        <v>3.4298196782645451E-2</v>
      </c>
      <c r="H19" t="s">
        <v>169</v>
      </c>
    </row>
    <row r="20" spans="2:13" ht="15" thickBot="1" x14ac:dyDescent="0.35">
      <c r="B20" s="49">
        <v>17</v>
      </c>
      <c r="C20" s="56">
        <f t="shared" si="1"/>
        <v>2030</v>
      </c>
      <c r="D20" s="61">
        <f t="shared" si="5"/>
        <v>457678.15151515149</v>
      </c>
      <c r="E20" s="33">
        <f t="shared" si="2"/>
        <v>3.3160839774579287E-2</v>
      </c>
    </row>
    <row r="21" spans="2:13" x14ac:dyDescent="0.3">
      <c r="H21" s="60" t="s">
        <v>170</v>
      </c>
      <c r="I21" s="60"/>
    </row>
    <row r="22" spans="2:13" x14ac:dyDescent="0.3">
      <c r="H22" s="57" t="s">
        <v>171</v>
      </c>
      <c r="I22" s="57">
        <v>0.77380615660094521</v>
      </c>
    </row>
    <row r="23" spans="2:13" x14ac:dyDescent="0.3">
      <c r="H23" s="57" t="s">
        <v>172</v>
      </c>
      <c r="I23" s="57">
        <v>0.5987759679935265</v>
      </c>
    </row>
    <row r="24" spans="2:13" x14ac:dyDescent="0.3">
      <c r="H24" s="57" t="s">
        <v>173</v>
      </c>
      <c r="I24" s="57">
        <v>0.55865356479287909</v>
      </c>
    </row>
    <row r="25" spans="2:13" x14ac:dyDescent="0.3">
      <c r="B25" t="s">
        <v>164</v>
      </c>
      <c r="C25" s="19">
        <f>AVERAGE(E5:E15)</f>
        <v>6.53128226859674E-2</v>
      </c>
      <c r="H25" s="57" t="s">
        <v>174</v>
      </c>
      <c r="I25" s="57">
        <v>45472.31568356463</v>
      </c>
    </row>
    <row r="26" spans="2:13" ht="15" thickBot="1" x14ac:dyDescent="0.35">
      <c r="B26" t="s">
        <v>166</v>
      </c>
      <c r="C26" s="33">
        <f>_xlfn.RRI(B15,D4,D15)</f>
        <v>5.4408165853156332E-2</v>
      </c>
      <c r="H26" s="58" t="s">
        <v>175</v>
      </c>
      <c r="I26" s="58">
        <v>12</v>
      </c>
    </row>
    <row r="27" spans="2:13" x14ac:dyDescent="0.3">
      <c r="B27" s="53" t="s">
        <v>167</v>
      </c>
      <c r="C27" s="54">
        <f>(D15/D4)^(1/B15)-1</f>
        <v>5.4408165853156332E-2</v>
      </c>
    </row>
    <row r="28" spans="2:13" ht="15" thickBot="1" x14ac:dyDescent="0.35">
      <c r="H28" t="s">
        <v>176</v>
      </c>
    </row>
    <row r="29" spans="2:13" x14ac:dyDescent="0.3">
      <c r="B29" t="s">
        <v>168</v>
      </c>
      <c r="C29" s="33">
        <f>_xlfn.STDEV.S(E5:E15)</f>
        <v>0.11684032204026763</v>
      </c>
      <c r="H29" s="59"/>
      <c r="I29" s="59" t="s">
        <v>180</v>
      </c>
      <c r="J29" s="59" t="s">
        <v>181</v>
      </c>
      <c r="K29" s="59" t="s">
        <v>182</v>
      </c>
      <c r="L29" s="59" t="s">
        <v>183</v>
      </c>
      <c r="M29" s="59" t="s">
        <v>184</v>
      </c>
    </row>
    <row r="30" spans="2:13" x14ac:dyDescent="0.3">
      <c r="H30" s="57" t="s">
        <v>177</v>
      </c>
      <c r="I30" s="57">
        <v>1</v>
      </c>
      <c r="J30" s="57">
        <v>30858269392.659088</v>
      </c>
      <c r="K30" s="57">
        <v>30858269392.659088</v>
      </c>
      <c r="L30" s="57">
        <v>14.923731387651911</v>
      </c>
      <c r="M30" s="57">
        <v>3.144194766831252E-3</v>
      </c>
    </row>
    <row r="31" spans="2:13" x14ac:dyDescent="0.3">
      <c r="H31" s="57" t="s">
        <v>178</v>
      </c>
      <c r="I31" s="57">
        <v>10</v>
      </c>
      <c r="J31" s="57">
        <v>20677314936.257576</v>
      </c>
      <c r="K31" s="57">
        <v>2067731493.6257577</v>
      </c>
      <c r="L31" s="57"/>
      <c r="M31" s="57"/>
    </row>
    <row r="32" spans="2:13" ht="15" thickBot="1" x14ac:dyDescent="0.35">
      <c r="H32" s="58" t="s">
        <v>13</v>
      </c>
      <c r="I32" s="58">
        <v>11</v>
      </c>
      <c r="J32" s="58">
        <v>51535584328.916664</v>
      </c>
      <c r="K32" s="58"/>
      <c r="L32" s="58"/>
      <c r="M32" s="58"/>
    </row>
    <row r="33" spans="8:16" ht="15" thickBot="1" x14ac:dyDescent="0.35"/>
    <row r="34" spans="8:16" x14ac:dyDescent="0.3">
      <c r="H34" s="59"/>
      <c r="I34" s="59" t="s">
        <v>185</v>
      </c>
      <c r="J34" s="59" t="s">
        <v>174</v>
      </c>
      <c r="K34" s="59" t="s">
        <v>186</v>
      </c>
      <c r="L34" s="59" t="s">
        <v>187</v>
      </c>
      <c r="M34" s="59" t="s">
        <v>188</v>
      </c>
      <c r="N34" s="59" t="s">
        <v>189</v>
      </c>
      <c r="O34" s="59" t="s">
        <v>190</v>
      </c>
      <c r="P34" s="59" t="s">
        <v>191</v>
      </c>
    </row>
    <row r="35" spans="8:16" x14ac:dyDescent="0.3">
      <c r="H35" s="57" t="s">
        <v>179</v>
      </c>
      <c r="I35" s="57">
        <v>207950.4696969697</v>
      </c>
      <c r="J35" s="57">
        <v>27986.275678864327</v>
      </c>
      <c r="K35" s="57">
        <v>7.4304445537216353</v>
      </c>
      <c r="L35" s="57">
        <v>2.2349423929224751E-5</v>
      </c>
      <c r="M35" s="57">
        <v>145593.16153449356</v>
      </c>
      <c r="N35" s="57">
        <v>270307.77785944584</v>
      </c>
      <c r="O35" s="57">
        <v>145593.16153449356</v>
      </c>
      <c r="P35" s="57">
        <v>270307.77785944584</v>
      </c>
    </row>
    <row r="36" spans="8:16" ht="15" thickBot="1" x14ac:dyDescent="0.35">
      <c r="H36" s="58" t="s">
        <v>163</v>
      </c>
      <c r="I36" s="58">
        <v>14689.863636363632</v>
      </c>
      <c r="J36" s="58">
        <v>3802.5860666901044</v>
      </c>
      <c r="K36" s="58">
        <v>3.8631245627926498</v>
      </c>
      <c r="L36" s="58">
        <v>3.1441947668312607E-3</v>
      </c>
      <c r="M36" s="58">
        <v>6217.1738831497405</v>
      </c>
      <c r="N36" s="58">
        <v>23162.553389577522</v>
      </c>
      <c r="O36" s="58">
        <v>6217.1738831497405</v>
      </c>
      <c r="P36" s="58">
        <v>23162.553389577522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E211-7AE2-4F3E-AFC2-7B8DFE8EA678}">
  <sheetPr>
    <tabColor theme="2" tint="-9.9978637043366805E-2"/>
    <pageSetUpPr fitToPage="1"/>
  </sheetPr>
  <dimension ref="B6:N48"/>
  <sheetViews>
    <sheetView showGridLines="0" topLeftCell="A19" workbookViewId="0">
      <selection activeCell="M50" sqref="M50"/>
    </sheetView>
  </sheetViews>
  <sheetFormatPr defaultRowHeight="14.4" x14ac:dyDescent="0.3"/>
  <cols>
    <col min="1" max="1" width="1.88671875" customWidth="1"/>
    <col min="2" max="2" width="37.44140625" customWidth="1"/>
    <col min="3" max="3" width="20.21875" customWidth="1"/>
    <col min="4" max="5" width="9.77734375" customWidth="1"/>
    <col min="6" max="6" width="7.44140625" bestFit="1" customWidth="1"/>
    <col min="7" max="7" width="9.5546875" customWidth="1"/>
    <col min="8" max="8" width="10.6640625" bestFit="1" customWidth="1"/>
    <col min="9" max="9" width="17.5546875" bestFit="1" customWidth="1"/>
    <col min="12" max="12" width="9.33203125" bestFit="1" customWidth="1"/>
    <col min="13" max="13" width="20.21875" bestFit="1" customWidth="1"/>
  </cols>
  <sheetData>
    <row r="6" spans="2:14" x14ac:dyDescent="0.3">
      <c r="F6" t="s">
        <v>208</v>
      </c>
    </row>
    <row r="7" spans="2:14" x14ac:dyDescent="0.3">
      <c r="B7" s="20" t="s">
        <v>193</v>
      </c>
      <c r="C7" s="20"/>
      <c r="D7" s="20"/>
      <c r="E7" s="20"/>
      <c r="F7" s="21"/>
      <c r="G7" s="21"/>
      <c r="H7" s="21"/>
      <c r="I7" s="21"/>
      <c r="J7" s="21"/>
      <c r="K7" s="21"/>
    </row>
    <row r="9" spans="2:14" x14ac:dyDescent="0.3">
      <c r="B9" s="74" t="s">
        <v>194</v>
      </c>
      <c r="C9" s="74"/>
      <c r="D9" s="74"/>
      <c r="E9" s="74"/>
    </row>
    <row r="11" spans="2:14" x14ac:dyDescent="0.3">
      <c r="B11" t="s">
        <v>195</v>
      </c>
    </row>
    <row r="12" spans="2:14" x14ac:dyDescent="0.3">
      <c r="B12" s="75"/>
      <c r="C12" s="75"/>
      <c r="D12" s="75"/>
      <c r="E12" s="75"/>
      <c r="F12" s="75"/>
      <c r="G12" s="75"/>
      <c r="H12" s="75"/>
      <c r="I12" s="75"/>
      <c r="J12" s="75" t="s">
        <v>201</v>
      </c>
      <c r="K12" s="75" t="s">
        <v>201</v>
      </c>
      <c r="L12" s="75" t="s">
        <v>204</v>
      </c>
      <c r="M12" s="75" t="s">
        <v>206</v>
      </c>
    </row>
    <row r="13" spans="2:14" ht="16.2" x14ac:dyDescent="0.3">
      <c r="B13" s="76" t="s">
        <v>196</v>
      </c>
      <c r="C13" s="76"/>
      <c r="D13" s="76"/>
      <c r="E13" s="76"/>
      <c r="F13" s="76" t="s">
        <v>197</v>
      </c>
      <c r="G13" s="76" t="s">
        <v>198</v>
      </c>
      <c r="H13" s="76" t="s">
        <v>199</v>
      </c>
      <c r="I13" s="89" t="s">
        <v>200</v>
      </c>
      <c r="J13" s="76" t="s">
        <v>202</v>
      </c>
      <c r="K13" s="76" t="s">
        <v>203</v>
      </c>
      <c r="L13" s="76" t="s">
        <v>205</v>
      </c>
      <c r="M13" s="76" t="s">
        <v>207</v>
      </c>
    </row>
    <row r="15" spans="2:14" x14ac:dyDescent="0.3">
      <c r="B15" s="77" t="s">
        <v>251</v>
      </c>
      <c r="C15" s="77"/>
      <c r="D15" s="77"/>
      <c r="E15" s="77"/>
      <c r="F15" s="77" t="s">
        <v>209</v>
      </c>
      <c r="G15" s="77">
        <f>'Retailing Companies'!E4</f>
        <v>2045</v>
      </c>
      <c r="H15" s="77">
        <f>'Retailing Companies'!D4</f>
        <v>316965.77</v>
      </c>
      <c r="I15" s="78">
        <v>0.3</v>
      </c>
      <c r="J15" s="33">
        <f>G15/H15</f>
        <v>6.4518007733137869E-3</v>
      </c>
      <c r="K15" s="33">
        <f>G15/(G15+H15)</f>
        <v>6.4104418794387408E-3</v>
      </c>
      <c r="L15" s="79">
        <v>1.57</v>
      </c>
      <c r="M15" s="79">
        <f>L15/(1+(1-I15)*J15)</f>
        <v>1.5629413496541602</v>
      </c>
      <c r="N15" s="77" t="s">
        <v>210</v>
      </c>
    </row>
    <row r="16" spans="2:14" x14ac:dyDescent="0.3">
      <c r="B16" s="77" t="s">
        <v>252</v>
      </c>
      <c r="C16" s="77"/>
      <c r="D16" s="77"/>
      <c r="E16" s="77"/>
      <c r="F16" s="77" t="s">
        <v>209</v>
      </c>
      <c r="G16" s="77">
        <f>'Retailing Companies'!E5</f>
        <v>819.62</v>
      </c>
      <c r="H16" s="77">
        <f>'Retailing Companies'!D5</f>
        <v>287519.90000000002</v>
      </c>
      <c r="I16" s="78">
        <v>0.3</v>
      </c>
      <c r="J16" s="33">
        <f t="shared" ref="J16:J19" si="0">G16/H16</f>
        <v>2.8506548590201929E-3</v>
      </c>
      <c r="K16" s="33">
        <f t="shared" ref="K16:K19" si="1">G16/(G16+H16)</f>
        <v>2.8425517251329264E-3</v>
      </c>
      <c r="L16" s="79">
        <v>1.23</v>
      </c>
      <c r="M16" s="79">
        <f t="shared" ref="M16:M19" si="2">L16/(1+(1-I16)*J16)</f>
        <v>1.2275504740934331</v>
      </c>
    </row>
    <row r="17" spans="2:13" x14ac:dyDescent="0.3">
      <c r="B17" s="77" t="s">
        <v>250</v>
      </c>
      <c r="C17" s="77"/>
      <c r="D17" s="77"/>
      <c r="E17" s="77"/>
      <c r="F17" s="77" t="s">
        <v>209</v>
      </c>
      <c r="G17" s="77">
        <f>'Retailing Companies'!E6</f>
        <v>2237.19</v>
      </c>
      <c r="H17" s="77">
        <f>'Retailing Companies'!D6</f>
        <v>171192.1</v>
      </c>
      <c r="I17" s="78">
        <v>0.3</v>
      </c>
      <c r="J17" s="33">
        <f t="shared" si="0"/>
        <v>1.3068301633077694E-2</v>
      </c>
      <c r="K17" s="33">
        <f t="shared" si="1"/>
        <v>1.2899724146941962E-2</v>
      </c>
      <c r="L17" s="79">
        <v>1.38</v>
      </c>
      <c r="M17" s="79">
        <f t="shared" si="2"/>
        <v>1.3674904555723577</v>
      </c>
    </row>
    <row r="18" spans="2:13" x14ac:dyDescent="0.3">
      <c r="B18" s="77" t="s">
        <v>253</v>
      </c>
      <c r="C18" s="77"/>
      <c r="D18" s="77"/>
      <c r="E18" s="77"/>
      <c r="F18" s="77" t="s">
        <v>209</v>
      </c>
      <c r="G18" s="77">
        <f>'Retailing Companies'!E7</f>
        <v>1702.95</v>
      </c>
      <c r="H18" s="77">
        <f>'Retailing Companies'!D7</f>
        <v>103199.58</v>
      </c>
      <c r="I18" s="78">
        <v>0.3</v>
      </c>
      <c r="J18" s="33">
        <f t="shared" si="0"/>
        <v>1.6501520645723557E-2</v>
      </c>
      <c r="K18" s="33">
        <f t="shared" si="1"/>
        <v>1.6233640885496281E-2</v>
      </c>
      <c r="L18" s="79">
        <v>1.61</v>
      </c>
      <c r="M18" s="79">
        <f t="shared" si="2"/>
        <v>1.5916151508102014</v>
      </c>
    </row>
    <row r="19" spans="2:13" x14ac:dyDescent="0.3">
      <c r="B19" s="77" t="s">
        <v>254</v>
      </c>
      <c r="C19" s="77"/>
      <c r="D19" s="77"/>
      <c r="E19" s="77"/>
      <c r="F19" s="77" t="s">
        <v>209</v>
      </c>
      <c r="G19" s="77">
        <f>'Retailing Companies'!E8</f>
        <v>267.33999999999997</v>
      </c>
      <c r="H19" s="77">
        <f>'Retailing Companies'!D8</f>
        <v>86492.82</v>
      </c>
      <c r="I19" s="78">
        <v>0.3</v>
      </c>
      <c r="J19" s="33">
        <f t="shared" si="0"/>
        <v>3.0908924000859258E-3</v>
      </c>
      <c r="K19" s="33">
        <f t="shared" si="1"/>
        <v>3.0813682224652417E-3</v>
      </c>
      <c r="L19" s="79">
        <v>1.62</v>
      </c>
      <c r="M19" s="79">
        <f t="shared" si="2"/>
        <v>1.6165024953057778</v>
      </c>
    </row>
    <row r="21" spans="2:13" x14ac:dyDescent="0.3">
      <c r="H21" s="29" t="s">
        <v>211</v>
      </c>
      <c r="I21" s="80">
        <f>AVERAGE(I15:I19)</f>
        <v>0.3</v>
      </c>
      <c r="J21" s="80">
        <f>AVERAGE(J15:J19)</f>
        <v>8.3926340622442318E-3</v>
      </c>
      <c r="K21" s="80">
        <f>AVERAGE(K15:K19)</f>
        <v>8.2935453718950315E-3</v>
      </c>
      <c r="L21" s="81">
        <f>AVERAGE(L15:L19)</f>
        <v>1.482</v>
      </c>
      <c r="M21" s="81">
        <f>AVERAGE(M15:M19)</f>
        <v>1.4732199850871861</v>
      </c>
    </row>
    <row r="22" spans="2:13" x14ac:dyDescent="0.3">
      <c r="H22" s="82" t="s">
        <v>161</v>
      </c>
      <c r="I22" s="83">
        <f>MEDIAN(I15:I19)</f>
        <v>0.3</v>
      </c>
      <c r="J22" s="83">
        <f>MEDIAN(J15:J19)</f>
        <v>6.4518007733137869E-3</v>
      </c>
      <c r="K22" s="83">
        <f>MEDIAN(K15:K19)</f>
        <v>6.4104418794387408E-3</v>
      </c>
      <c r="L22" s="84">
        <f>MEDIAN(L15:L19)</f>
        <v>1.57</v>
      </c>
      <c r="M22" s="84">
        <f>MEDIAN(M15:M19)</f>
        <v>1.5629413496541602</v>
      </c>
    </row>
    <row r="25" spans="2:13" x14ac:dyDescent="0.3">
      <c r="B25" s="82" t="s">
        <v>212</v>
      </c>
      <c r="C25" s="82"/>
      <c r="D25" s="82"/>
      <c r="E25" s="82"/>
      <c r="F25" s="76"/>
      <c r="G25" s="76"/>
      <c r="I25" s="82" t="s">
        <v>216</v>
      </c>
      <c r="J25" s="82"/>
      <c r="K25" s="82"/>
      <c r="L25" s="82"/>
      <c r="M25" s="82"/>
    </row>
    <row r="26" spans="2:13" x14ac:dyDescent="0.3">
      <c r="B26" t="s">
        <v>213</v>
      </c>
      <c r="G26" s="33">
        <f>83/819</f>
        <v>0.10134310134310134</v>
      </c>
      <c r="I26" t="s">
        <v>217</v>
      </c>
      <c r="M26" s="78">
        <v>6.5140000000000003E-2</v>
      </c>
    </row>
    <row r="27" spans="2:13" x14ac:dyDescent="0.3">
      <c r="B27" t="s">
        <v>214</v>
      </c>
      <c r="G27" s="78">
        <v>0.3</v>
      </c>
      <c r="I27" t="s">
        <v>218</v>
      </c>
      <c r="M27" s="78">
        <f>'Market Return'!G6-WACC!M26</f>
        <v>0.10200799999999999</v>
      </c>
    </row>
    <row r="28" spans="2:13" ht="16.2" x14ac:dyDescent="0.3">
      <c r="B28" s="85" t="s">
        <v>215</v>
      </c>
      <c r="C28" s="85"/>
      <c r="D28" s="85"/>
      <c r="E28" s="85"/>
      <c r="F28" s="85"/>
      <c r="G28" s="86">
        <f>G26* (1 - G27)</f>
        <v>7.0940170940170938E-2</v>
      </c>
      <c r="I28" t="s">
        <v>220</v>
      </c>
      <c r="M28" s="79">
        <f>M37</f>
        <v>1.4798734303745189</v>
      </c>
    </row>
    <row r="29" spans="2:13" x14ac:dyDescent="0.3">
      <c r="I29" s="85" t="s">
        <v>216</v>
      </c>
      <c r="J29" s="85"/>
      <c r="K29" s="85"/>
      <c r="L29" s="85"/>
      <c r="M29" s="90">
        <f>M26+M27*M28</f>
        <v>0.21609892888564391</v>
      </c>
    </row>
    <row r="32" spans="2:13" x14ac:dyDescent="0.3">
      <c r="B32" s="82" t="s">
        <v>221</v>
      </c>
      <c r="C32" s="82"/>
      <c r="D32" s="82"/>
      <c r="E32" s="82"/>
      <c r="F32" s="62"/>
      <c r="G32" s="62"/>
      <c r="I32" s="82" t="s">
        <v>219</v>
      </c>
      <c r="J32" s="82"/>
      <c r="K32" s="82"/>
      <c r="L32" s="82"/>
      <c r="M32" s="82"/>
    </row>
    <row r="34" spans="2:13" x14ac:dyDescent="0.3">
      <c r="D34" s="82" t="s">
        <v>222</v>
      </c>
      <c r="E34" s="82" t="s">
        <v>223</v>
      </c>
      <c r="I34" t="s">
        <v>225</v>
      </c>
      <c r="M34" s="79">
        <f>M21</f>
        <v>1.4732199850871861</v>
      </c>
    </row>
    <row r="35" spans="2:13" x14ac:dyDescent="0.3">
      <c r="B35" t="s">
        <v>198</v>
      </c>
      <c r="C35" s="77">
        <f>G16</f>
        <v>819.62</v>
      </c>
      <c r="D35" s="33">
        <f>C35/$C$37</f>
        <v>2.8425517251329264E-3</v>
      </c>
      <c r="E35" s="78">
        <f>K22</f>
        <v>6.4104418794387408E-3</v>
      </c>
      <c r="I35" t="s">
        <v>226</v>
      </c>
      <c r="M35" s="19">
        <f>E39</f>
        <v>6.4518007733137869E-3</v>
      </c>
    </row>
    <row r="36" spans="2:13" x14ac:dyDescent="0.3">
      <c r="B36" t="s">
        <v>44</v>
      </c>
      <c r="C36" s="77">
        <f>H16</f>
        <v>287519.90000000002</v>
      </c>
      <c r="D36" s="33">
        <f>C36/$C$37</f>
        <v>0.99715744827486708</v>
      </c>
      <c r="E36" s="19">
        <f>E37-E35</f>
        <v>0.99358955812056127</v>
      </c>
      <c r="I36" t="s">
        <v>214</v>
      </c>
      <c r="M36" s="19">
        <f>G27</f>
        <v>0.3</v>
      </c>
    </row>
    <row r="37" spans="2:13" x14ac:dyDescent="0.3">
      <c r="B37" s="85" t="s">
        <v>224</v>
      </c>
      <c r="C37" s="85">
        <f>SUM(C35:C36)</f>
        <v>288339.52</v>
      </c>
      <c r="D37" s="87">
        <f>C37/$C$37</f>
        <v>1</v>
      </c>
      <c r="E37" s="86">
        <v>1</v>
      </c>
      <c r="I37" s="85" t="s">
        <v>219</v>
      </c>
      <c r="J37" s="85"/>
      <c r="K37" s="85"/>
      <c r="L37" s="85"/>
      <c r="M37" s="88">
        <f>M34 * (1 + (1 - M36) * M35)</f>
        <v>1.4798734303745189</v>
      </c>
    </row>
    <row r="39" spans="2:13" x14ac:dyDescent="0.3">
      <c r="B39" t="s">
        <v>227</v>
      </c>
      <c r="D39" s="19">
        <f>D35/D36</f>
        <v>2.8506548590201929E-3</v>
      </c>
      <c r="E39" s="19">
        <f>E35/E36</f>
        <v>6.4518007733137869E-3</v>
      </c>
    </row>
    <row r="40" spans="2:13" x14ac:dyDescent="0.3">
      <c r="I40" s="82" t="s">
        <v>193</v>
      </c>
      <c r="J40" s="76"/>
      <c r="K40" s="76"/>
      <c r="L40" s="76"/>
      <c r="M40" s="76"/>
    </row>
    <row r="42" spans="2:13" x14ac:dyDescent="0.3">
      <c r="I42" s="62" t="s">
        <v>199</v>
      </c>
      <c r="J42" s="62"/>
      <c r="K42" s="62"/>
      <c r="L42" s="106"/>
      <c r="M42" s="128">
        <f>M29</f>
        <v>0.21609892888564391</v>
      </c>
    </row>
    <row r="43" spans="2:13" x14ac:dyDescent="0.3">
      <c r="I43" s="62" t="s">
        <v>267</v>
      </c>
      <c r="J43" s="62"/>
      <c r="K43" s="62"/>
      <c r="L43" s="126"/>
      <c r="M43" s="126">
        <f>E36</f>
        <v>0.99358955812056127</v>
      </c>
    </row>
    <row r="44" spans="2:13" x14ac:dyDescent="0.3">
      <c r="I44" s="62"/>
      <c r="J44" s="62"/>
      <c r="K44" s="62"/>
      <c r="L44" s="126"/>
      <c r="M44" s="126"/>
    </row>
    <row r="45" spans="2:13" x14ac:dyDescent="0.3">
      <c r="I45" s="100" t="s">
        <v>198</v>
      </c>
      <c r="J45" s="62"/>
      <c r="K45" s="62"/>
      <c r="L45" s="62"/>
      <c r="M45" s="127">
        <f>G28</f>
        <v>7.0940170940170938E-2</v>
      </c>
    </row>
    <row r="46" spans="2:13" x14ac:dyDescent="0.3">
      <c r="I46" s="100" t="s">
        <v>268</v>
      </c>
      <c r="M46" s="19">
        <f>E35</f>
        <v>6.4104418794387408E-3</v>
      </c>
    </row>
    <row r="48" spans="2:13" x14ac:dyDescent="0.3">
      <c r="I48" s="104" t="s">
        <v>269</v>
      </c>
      <c r="J48" s="104"/>
      <c r="K48" s="104"/>
      <c r="L48" s="104"/>
      <c r="M48" s="129">
        <f>(M42*M43)+(M45*M46)</f>
        <v>0.21516839710454294</v>
      </c>
    </row>
  </sheetData>
  <pageMargins left="0.7" right="0.7" top="0.75" bottom="0.75" header="0.3" footer="0.3"/>
  <pageSetup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34CB-0BBF-4132-804B-A9FB459675D0}">
  <sheetPr>
    <tabColor theme="9" tint="0.59999389629810485"/>
  </sheetPr>
  <dimension ref="B2:BA116"/>
  <sheetViews>
    <sheetView showGridLines="0" topLeftCell="D3" workbookViewId="0">
      <selection activeCell="AW23" sqref="AW23"/>
    </sheetView>
  </sheetViews>
  <sheetFormatPr defaultRowHeight="14.4" outlineLevelCol="1" x14ac:dyDescent="0.3"/>
  <cols>
    <col min="1" max="1" width="1.88671875" customWidth="1"/>
    <col min="2" max="2" width="22.44140625" customWidth="1"/>
    <col min="3" max="3" width="10.5546875" customWidth="1" outlineLevel="1"/>
    <col min="4" max="4" width="11.5546875" customWidth="1" outlineLevel="1"/>
    <col min="5" max="5" width="9.21875" customWidth="1" outlineLevel="1"/>
    <col min="6" max="6" width="8.88671875" customWidth="1" outlineLevel="1"/>
    <col min="7" max="7" width="11.5546875" customWidth="1" outlineLevel="1"/>
    <col min="8" max="9" width="8.88671875" customWidth="1" outlineLevel="1"/>
    <col min="10" max="10" width="17.5546875" customWidth="1" outlineLevel="1"/>
    <col min="11" max="11" width="20.21875" customWidth="1" outlineLevel="1"/>
    <col min="12" max="15" width="8.88671875" customWidth="1" outlineLevel="1"/>
    <col min="16" max="16" width="20.21875" customWidth="1" outlineLevel="1"/>
    <col min="17" max="17" width="10.5546875" customWidth="1" outlineLevel="1"/>
    <col min="18" max="18" width="10.33203125" customWidth="1" outlineLevel="1"/>
    <col min="19" max="19" width="10.33203125" customWidth="1"/>
    <col min="20" max="20" width="17.77734375" bestFit="1" customWidth="1"/>
    <col min="21" max="21" width="10.33203125" customWidth="1" outlineLevel="1"/>
    <col min="22" max="22" width="12" customWidth="1" outlineLevel="1"/>
    <col min="23" max="23" width="11.5546875" customWidth="1" outlineLevel="1"/>
    <col min="24" max="24" width="6.6640625" customWidth="1" outlineLevel="1"/>
    <col min="25" max="25" width="8.88671875" customWidth="1" outlineLevel="1"/>
    <col min="26" max="26" width="11.5546875" customWidth="1" outlineLevel="1"/>
    <col min="27" max="27" width="6.6640625" customWidth="1" outlineLevel="1"/>
    <col min="28" max="29" width="8.88671875" customWidth="1" outlineLevel="1"/>
    <col min="30" max="30" width="16.44140625" customWidth="1" outlineLevel="1"/>
    <col min="31" max="33" width="8.88671875" customWidth="1" outlineLevel="1"/>
    <col min="34" max="34" width="20.21875" customWidth="1" outlineLevel="1"/>
    <col min="36" max="36" width="21.6640625" customWidth="1"/>
    <col min="38" max="38" width="10.33203125" bestFit="1" customWidth="1"/>
    <col min="39" max="39" width="11.5546875" bestFit="1" customWidth="1"/>
    <col min="40" max="40" width="7.6640625" bestFit="1" customWidth="1"/>
    <col min="43" max="43" width="8.88671875" style="25"/>
    <col min="45" max="45" width="20.21875" bestFit="1" customWidth="1"/>
  </cols>
  <sheetData>
    <row r="2" spans="2:49" x14ac:dyDescent="0.3">
      <c r="B2" s="193" t="s">
        <v>245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</row>
    <row r="3" spans="2:49" ht="14.4" customHeight="1" x14ac:dyDescent="0.3">
      <c r="B3" s="193"/>
      <c r="C3" s="91"/>
      <c r="D3" s="197" t="s">
        <v>261</v>
      </c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R3" s="102"/>
      <c r="S3" s="102"/>
      <c r="T3" s="193" t="s">
        <v>246</v>
      </c>
      <c r="U3" s="102"/>
      <c r="AJ3" s="193" t="s">
        <v>259</v>
      </c>
    </row>
    <row r="4" spans="2:49" ht="14.4" customHeight="1" x14ac:dyDescent="0.3">
      <c r="B4" s="193"/>
      <c r="C4" s="91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R4" s="99"/>
      <c r="S4" s="99"/>
      <c r="T4" s="193"/>
      <c r="U4" s="99"/>
      <c r="AJ4" s="193"/>
    </row>
    <row r="5" spans="2:49" ht="14.4" customHeight="1" x14ac:dyDescent="0.3">
      <c r="B5" s="193"/>
      <c r="C5" s="91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R5" s="99"/>
      <c r="S5" s="99"/>
      <c r="T5" s="193"/>
      <c r="U5" s="99"/>
      <c r="AJ5" s="193"/>
    </row>
    <row r="6" spans="2:49" x14ac:dyDescent="0.3"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R6" s="99"/>
      <c r="S6" s="99"/>
      <c r="T6" s="193"/>
      <c r="U6" s="99"/>
      <c r="AJ6" s="193"/>
    </row>
    <row r="7" spans="2:49" x14ac:dyDescent="0.3">
      <c r="C7" s="8" t="s">
        <v>229</v>
      </c>
      <c r="R7" s="99"/>
      <c r="S7" s="99"/>
      <c r="T7" s="99"/>
      <c r="U7" s="99"/>
    </row>
    <row r="8" spans="2:49" x14ac:dyDescent="0.3">
      <c r="R8" s="99"/>
      <c r="S8" s="99"/>
      <c r="T8" s="99"/>
      <c r="U8" s="99"/>
    </row>
    <row r="9" spans="2:49" x14ac:dyDescent="0.3">
      <c r="C9" s="195" t="s">
        <v>231</v>
      </c>
      <c r="D9" s="195"/>
      <c r="E9" s="195"/>
      <c r="R9" s="99"/>
      <c r="S9" s="99"/>
      <c r="T9" s="99"/>
      <c r="U9" s="99"/>
    </row>
    <row r="10" spans="2:49" x14ac:dyDescent="0.3">
      <c r="R10" s="99"/>
      <c r="S10" s="99"/>
      <c r="T10" s="99"/>
      <c r="U10" s="99"/>
      <c r="AL10" s="103" t="s">
        <v>230</v>
      </c>
      <c r="AM10" s="103" t="s">
        <v>233</v>
      </c>
      <c r="AN10" s="103" t="s">
        <v>232</v>
      </c>
      <c r="AP10" s="123" t="s">
        <v>260</v>
      </c>
    </row>
    <row r="11" spans="2:49" x14ac:dyDescent="0.3">
      <c r="C11" s="98" t="s">
        <v>230</v>
      </c>
      <c r="D11" s="98" t="s">
        <v>233</v>
      </c>
      <c r="E11" s="98" t="s">
        <v>232</v>
      </c>
      <c r="G11" s="98" t="s">
        <v>233</v>
      </c>
      <c r="H11" s="98" t="s">
        <v>232</v>
      </c>
      <c r="J11" s="196" t="s">
        <v>238</v>
      </c>
      <c r="K11" s="196"/>
      <c r="O11" s="106" t="s">
        <v>234</v>
      </c>
      <c r="P11" s="107">
        <f>SLOPE(E13:E116,H13:H116)</f>
        <v>1.2295362695188576</v>
      </c>
      <c r="R11" s="99"/>
      <c r="S11" s="99"/>
      <c r="T11" s="99"/>
      <c r="U11" s="99"/>
      <c r="V11" s="103" t="s">
        <v>230</v>
      </c>
      <c r="W11" s="103" t="s">
        <v>233</v>
      </c>
      <c r="X11" s="103" t="s">
        <v>232</v>
      </c>
      <c r="Z11" s="103" t="s">
        <v>233</v>
      </c>
      <c r="AA11" s="103" t="s">
        <v>232</v>
      </c>
      <c r="AD11" s="194" t="s">
        <v>247</v>
      </c>
      <c r="AE11" s="194"/>
      <c r="AG11" s="194" t="s">
        <v>248</v>
      </c>
      <c r="AH11" s="194"/>
      <c r="AL11" s="95">
        <v>44402</v>
      </c>
      <c r="AM11" s="96">
        <v>133.5</v>
      </c>
      <c r="AN11" s="97"/>
      <c r="AP11" s="97"/>
      <c r="AQ11" s="101"/>
      <c r="AR11" t="s">
        <v>234</v>
      </c>
      <c r="AS11" s="124">
        <f>_xlfn.COVARIANCE.S(AN12:AN93,AP12:AP93)/_xlfn.VAR.S(AP12:AP93)</f>
        <v>1.5670688225190357</v>
      </c>
      <c r="AU11" t="s">
        <v>369</v>
      </c>
      <c r="AW11" s="124">
        <f>AT37</f>
        <v>1.5670688225190361</v>
      </c>
    </row>
    <row r="12" spans="2:49" x14ac:dyDescent="0.3">
      <c r="C12" s="92">
        <v>44248</v>
      </c>
      <c r="D12" s="93">
        <v>2994.2</v>
      </c>
      <c r="E12" s="94"/>
      <c r="G12" s="93">
        <v>14529.15</v>
      </c>
      <c r="H12" s="94"/>
      <c r="J12" t="s">
        <v>239</v>
      </c>
      <c r="K12" s="79">
        <f>P11</f>
        <v>1.2295362695188576</v>
      </c>
      <c r="O12" s="106" t="s">
        <v>235</v>
      </c>
      <c r="P12" s="107">
        <f>_xlfn.COVARIANCE.S(E12:E116,H12:H116)/_xlfn.VAR.S(H12:H116)</f>
        <v>1.2295362695188574</v>
      </c>
      <c r="R12" s="99"/>
      <c r="S12" s="99"/>
      <c r="T12" s="99"/>
      <c r="U12" s="99"/>
      <c r="V12" s="92">
        <v>44248</v>
      </c>
      <c r="W12" s="96">
        <v>2123.59</v>
      </c>
      <c r="X12" s="94"/>
      <c r="Z12" s="93">
        <v>14529.15</v>
      </c>
      <c r="AA12" s="94"/>
      <c r="AD12" s="109" t="s">
        <v>249</v>
      </c>
      <c r="AE12" s="110">
        <f>AH14</f>
        <v>0.65936328610841866</v>
      </c>
      <c r="AG12" s="109" t="s">
        <v>234</v>
      </c>
      <c r="AH12" s="110">
        <f>SLOPE(X13:X116,AA13:AA116)</f>
        <v>0.65936328610841921</v>
      </c>
      <c r="AL12" s="92">
        <v>44409</v>
      </c>
      <c r="AM12" s="96">
        <v>131.35</v>
      </c>
      <c r="AN12" s="94">
        <v>-1.61E-2</v>
      </c>
      <c r="AP12" s="94">
        <v>3.0099999999999998E-2</v>
      </c>
      <c r="AQ12" s="101"/>
    </row>
    <row r="13" spans="2:49" x14ac:dyDescent="0.3">
      <c r="C13" s="95">
        <v>44255</v>
      </c>
      <c r="D13" s="96">
        <v>3286.1</v>
      </c>
      <c r="E13" s="97">
        <v>9.7500000000000003E-2</v>
      </c>
      <c r="F13" s="33"/>
      <c r="G13" s="96">
        <v>14938.1</v>
      </c>
      <c r="H13" s="97">
        <v>2.81E-2</v>
      </c>
      <c r="J13" t="s">
        <v>240</v>
      </c>
      <c r="K13" s="33">
        <v>0.75</v>
      </c>
      <c r="O13" s="106"/>
      <c r="P13" s="108"/>
      <c r="R13" s="99"/>
      <c r="S13" s="99"/>
      <c r="T13" s="99"/>
      <c r="U13" s="99"/>
      <c r="V13" s="95">
        <v>44255</v>
      </c>
      <c r="W13" s="96">
        <v>2192.37</v>
      </c>
      <c r="X13" s="97">
        <v>3.2399999999999998E-2</v>
      </c>
      <c r="Z13" s="96">
        <v>14938.1</v>
      </c>
      <c r="AA13" s="97">
        <v>2.81E-2</v>
      </c>
      <c r="AD13" s="111" t="s">
        <v>240</v>
      </c>
      <c r="AE13" s="112">
        <v>0.25</v>
      </c>
      <c r="AG13" s="111" t="s">
        <v>235</v>
      </c>
      <c r="AH13" s="117">
        <f>_xlfn.COVARIANCE.S(X13:X116,AA13:AA116)/_xlfn.VAR.S(AA13:AA116)</f>
        <v>0.65936328610841921</v>
      </c>
      <c r="AL13" s="95">
        <v>44416</v>
      </c>
      <c r="AM13" s="96">
        <v>137.35</v>
      </c>
      <c r="AN13" s="97">
        <v>4.5699999999999998E-2</v>
      </c>
      <c r="AP13" s="97">
        <v>1.7899999999999999E-2</v>
      </c>
      <c r="AQ13" s="101"/>
    </row>
    <row r="14" spans="2:49" x14ac:dyDescent="0.3">
      <c r="C14" s="92">
        <v>44262</v>
      </c>
      <c r="D14" s="93">
        <v>3129.35</v>
      </c>
      <c r="E14" s="94">
        <v>-4.7699999999999999E-2</v>
      </c>
      <c r="G14" s="93">
        <v>15030.95</v>
      </c>
      <c r="H14" s="94">
        <v>6.1999999999999998E-3</v>
      </c>
      <c r="O14" s="106" t="s">
        <v>237</v>
      </c>
      <c r="P14" s="107">
        <f>K93</f>
        <v>1.229536269518857</v>
      </c>
      <c r="R14" s="99"/>
      <c r="S14" s="99"/>
      <c r="T14" s="99"/>
      <c r="U14" s="99"/>
      <c r="V14" s="92">
        <v>44262</v>
      </c>
      <c r="W14" s="96">
        <v>2196.0100000000002</v>
      </c>
      <c r="X14" s="94">
        <v>1.6999999999999999E-3</v>
      </c>
      <c r="Z14" s="93">
        <v>15030.95</v>
      </c>
      <c r="AA14" s="94">
        <v>6.1999999999999998E-3</v>
      </c>
      <c r="AD14" s="111"/>
      <c r="AE14" s="113"/>
      <c r="AG14" s="116" t="s">
        <v>237</v>
      </c>
      <c r="AH14" s="114">
        <f>AD42</f>
        <v>0.65936328610841866</v>
      </c>
      <c r="AL14" s="92">
        <v>44423</v>
      </c>
      <c r="AM14" s="96">
        <v>139.30000000000001</v>
      </c>
      <c r="AN14" s="94">
        <v>1.4200000000000001E-2</v>
      </c>
      <c r="AP14" s="94">
        <v>-4.7999999999999996E-3</v>
      </c>
      <c r="AQ14" s="101"/>
      <c r="AR14" t="s">
        <v>369</v>
      </c>
      <c r="AS14" s="124">
        <f>SLOPE(AN12:AN93,AP12:AP93)</f>
        <v>1.5670688225190355</v>
      </c>
    </row>
    <row r="15" spans="2:49" x14ac:dyDescent="0.3">
      <c r="C15" s="95">
        <v>44269</v>
      </c>
      <c r="D15" s="96">
        <v>2960.3</v>
      </c>
      <c r="E15" s="97">
        <v>-5.3999999999999999E-2</v>
      </c>
      <c r="G15" s="96">
        <v>14744</v>
      </c>
      <c r="H15" s="97">
        <v>-1.9099999999999999E-2</v>
      </c>
      <c r="J15" t="s">
        <v>241</v>
      </c>
      <c r="K15" s="79">
        <v>1</v>
      </c>
      <c r="R15" s="99"/>
      <c r="S15" s="99"/>
      <c r="T15" s="99"/>
      <c r="U15" s="99"/>
      <c r="V15" s="95">
        <v>44269</v>
      </c>
      <c r="W15" s="96">
        <v>2302.88</v>
      </c>
      <c r="X15" s="97">
        <v>4.87E-2</v>
      </c>
      <c r="Z15" s="96">
        <v>14744</v>
      </c>
      <c r="AA15" s="97">
        <v>-1.9099999999999999E-2</v>
      </c>
      <c r="AD15" s="111" t="s">
        <v>241</v>
      </c>
      <c r="AE15" s="113">
        <v>1</v>
      </c>
      <c r="AL15" s="95">
        <v>44430</v>
      </c>
      <c r="AM15" s="96">
        <v>124.7</v>
      </c>
      <c r="AN15" s="97">
        <v>-0.1048</v>
      </c>
      <c r="AP15" s="97">
        <v>1.55E-2</v>
      </c>
      <c r="AQ15" s="101"/>
    </row>
    <row r="16" spans="2:49" x14ac:dyDescent="0.3">
      <c r="C16" s="92">
        <v>44276</v>
      </c>
      <c r="D16" s="93">
        <v>2855.2</v>
      </c>
      <c r="E16" s="94">
        <v>-3.5499999999999997E-2</v>
      </c>
      <c r="G16" s="93">
        <v>14507.3</v>
      </c>
      <c r="H16" s="94">
        <v>-1.61E-2</v>
      </c>
      <c r="J16" t="s">
        <v>242</v>
      </c>
      <c r="K16" s="33">
        <v>0.25</v>
      </c>
      <c r="R16" s="99"/>
      <c r="S16" s="99"/>
      <c r="T16" s="99"/>
      <c r="U16" s="99"/>
      <c r="V16" s="92">
        <v>44276</v>
      </c>
      <c r="W16" s="96">
        <v>2308.71</v>
      </c>
      <c r="X16" s="94">
        <v>2.5000000000000001E-3</v>
      </c>
      <c r="Z16" s="93">
        <v>14507.3</v>
      </c>
      <c r="AA16" s="94">
        <v>-1.61E-2</v>
      </c>
      <c r="AD16" s="111" t="s">
        <v>244</v>
      </c>
      <c r="AE16" s="112">
        <v>0.75</v>
      </c>
      <c r="AL16" s="92">
        <v>44437</v>
      </c>
      <c r="AM16" s="96">
        <v>149.75</v>
      </c>
      <c r="AN16" s="94">
        <v>0.2009</v>
      </c>
      <c r="AP16" s="94">
        <v>3.6999999999999998E-2</v>
      </c>
      <c r="AQ16" s="101"/>
    </row>
    <row r="17" spans="3:50" x14ac:dyDescent="0.3">
      <c r="C17" s="95">
        <v>44283</v>
      </c>
      <c r="D17" s="96">
        <v>2912.7</v>
      </c>
      <c r="E17" s="97">
        <v>2.01E-2</v>
      </c>
      <c r="G17" s="96">
        <v>14867.35</v>
      </c>
      <c r="H17" s="97">
        <v>2.4799999999999999E-2</v>
      </c>
      <c r="K17" s="33"/>
      <c r="R17" s="99"/>
      <c r="S17" s="99"/>
      <c r="T17" s="99"/>
      <c r="U17" s="99"/>
      <c r="V17" s="95">
        <v>44283</v>
      </c>
      <c r="W17" s="96">
        <v>2389.58</v>
      </c>
      <c r="X17" s="97">
        <v>3.5000000000000003E-2</v>
      </c>
      <c r="Z17" s="96">
        <v>14867.35</v>
      </c>
      <c r="AA17" s="97">
        <v>2.4799999999999999E-2</v>
      </c>
      <c r="AD17" s="111"/>
      <c r="AE17" s="113"/>
      <c r="AL17" s="95">
        <v>44444</v>
      </c>
      <c r="AM17" s="96">
        <v>141.6</v>
      </c>
      <c r="AN17" s="97">
        <v>-5.4399999999999997E-2</v>
      </c>
      <c r="AP17" s="94">
        <v>2.5999999999999999E-3</v>
      </c>
      <c r="AQ17" s="101"/>
      <c r="AR17" t="s">
        <v>369</v>
      </c>
      <c r="AS17" s="124">
        <f>_xlfn.COVARIANCE.S(AP12:AP93,AN12:AN93)/_xlfn.VAR.S(AP12:AP93)</f>
        <v>1.5670688225190357</v>
      </c>
    </row>
    <row r="18" spans="3:50" x14ac:dyDescent="0.3">
      <c r="C18" s="92">
        <v>44290</v>
      </c>
      <c r="D18" s="93">
        <v>2947.75</v>
      </c>
      <c r="E18" s="94">
        <v>1.2E-2</v>
      </c>
      <c r="G18" s="93">
        <v>14834.85</v>
      </c>
      <c r="H18" s="94">
        <v>-2.2000000000000001E-3</v>
      </c>
      <c r="J18" s="104" t="s">
        <v>243</v>
      </c>
      <c r="K18" s="105">
        <f>(K12*K13)+(K15*K16)</f>
        <v>1.1721522021391433</v>
      </c>
      <c r="R18" s="99"/>
      <c r="S18" s="99"/>
      <c r="T18" s="99"/>
      <c r="U18" s="99"/>
      <c r="V18" s="92">
        <v>44290</v>
      </c>
      <c r="W18" s="96">
        <v>2466.1799999999998</v>
      </c>
      <c r="X18" s="94">
        <v>3.2099999999999997E-2</v>
      </c>
      <c r="Z18" s="93">
        <v>14834.85</v>
      </c>
      <c r="AA18" s="94">
        <v>-2.2000000000000001E-3</v>
      </c>
      <c r="AD18" s="116" t="s">
        <v>243</v>
      </c>
      <c r="AE18" s="114">
        <f>(AE12*AE13)+(AE15*AE16)</f>
        <v>0.91484082152710466</v>
      </c>
      <c r="AL18" s="92">
        <v>44451</v>
      </c>
      <c r="AM18" s="96">
        <v>137.9</v>
      </c>
      <c r="AN18" s="94">
        <v>-2.6100000000000002E-2</v>
      </c>
      <c r="AP18" s="97">
        <v>1.24E-2</v>
      </c>
      <c r="AQ18" s="101"/>
    </row>
    <row r="19" spans="3:50" x14ac:dyDescent="0.3">
      <c r="C19" s="95">
        <v>44297</v>
      </c>
      <c r="D19" s="96">
        <v>2919.9</v>
      </c>
      <c r="E19" s="97">
        <v>-9.4000000000000004E-3</v>
      </c>
      <c r="G19" s="93">
        <v>14617.85</v>
      </c>
      <c r="H19" s="94">
        <v>-1.46E-2</v>
      </c>
      <c r="R19" s="99"/>
      <c r="S19" s="99"/>
      <c r="T19" s="99"/>
      <c r="U19" s="99"/>
      <c r="V19" s="95">
        <v>44297</v>
      </c>
      <c r="W19" s="96">
        <v>2449.15</v>
      </c>
      <c r="X19" s="97">
        <v>-6.8999999999999999E-3</v>
      </c>
      <c r="Z19" s="93">
        <v>14617.85</v>
      </c>
      <c r="AA19" s="94">
        <v>-1.46E-2</v>
      </c>
      <c r="AL19" s="92">
        <v>44458</v>
      </c>
      <c r="AM19" s="96">
        <v>136.65</v>
      </c>
      <c r="AN19" s="94">
        <v>-9.1000000000000004E-3</v>
      </c>
      <c r="AP19" s="94">
        <v>1.52E-2</v>
      </c>
      <c r="AQ19" s="101"/>
    </row>
    <row r="20" spans="3:50" x14ac:dyDescent="0.3">
      <c r="C20" s="92">
        <v>44304</v>
      </c>
      <c r="D20" s="93">
        <v>2713.7</v>
      </c>
      <c r="E20" s="94">
        <v>-7.0599999999999996E-2</v>
      </c>
      <c r="G20" s="96">
        <v>14341.35</v>
      </c>
      <c r="H20" s="97">
        <v>-1.89E-2</v>
      </c>
      <c r="R20" s="99"/>
      <c r="S20" s="99"/>
      <c r="T20" s="99"/>
      <c r="U20" s="99"/>
      <c r="V20" s="92">
        <v>44304</v>
      </c>
      <c r="W20" s="96">
        <v>2298.6</v>
      </c>
      <c r="X20" s="94">
        <v>-6.1499999999999999E-2</v>
      </c>
      <c r="Z20" s="96">
        <v>14341.35</v>
      </c>
      <c r="AA20" s="97">
        <v>-1.89E-2</v>
      </c>
      <c r="AL20" s="95">
        <v>44465</v>
      </c>
      <c r="AM20" s="96">
        <v>138</v>
      </c>
      <c r="AN20" s="97">
        <v>9.9000000000000008E-3</v>
      </c>
      <c r="AP20" s="97">
        <v>-1.7999999999999999E-2</v>
      </c>
      <c r="AQ20" s="101"/>
      <c r="AS20" t="s">
        <v>169</v>
      </c>
    </row>
    <row r="21" spans="3:50" ht="15" thickBot="1" x14ac:dyDescent="0.35">
      <c r="C21" s="95">
        <v>44311</v>
      </c>
      <c r="D21" s="96">
        <v>2852.9</v>
      </c>
      <c r="E21" s="97">
        <v>5.1299999999999998E-2</v>
      </c>
      <c r="G21" s="93">
        <v>14631.1</v>
      </c>
      <c r="H21" s="94">
        <v>2.0199999999999999E-2</v>
      </c>
      <c r="R21" s="99"/>
      <c r="S21" s="99"/>
      <c r="T21" s="99"/>
      <c r="U21" s="99"/>
      <c r="V21" s="92">
        <v>44311</v>
      </c>
      <c r="W21" s="96">
        <v>2344.42</v>
      </c>
      <c r="X21" s="94">
        <v>1.9900000000000001E-2</v>
      </c>
      <c r="Z21" s="93">
        <v>14631.1</v>
      </c>
      <c r="AA21" s="94">
        <v>2.0199999999999999E-2</v>
      </c>
      <c r="AL21" s="92">
        <v>44472</v>
      </c>
      <c r="AM21" s="96">
        <v>136.15</v>
      </c>
      <c r="AN21" s="94">
        <v>-1.34E-2</v>
      </c>
      <c r="AP21" s="94">
        <v>2.07E-2</v>
      </c>
      <c r="AQ21" s="101"/>
    </row>
    <row r="22" spans="3:50" x14ac:dyDescent="0.3">
      <c r="C22" s="92">
        <v>44318</v>
      </c>
      <c r="D22" s="93">
        <v>2895.5</v>
      </c>
      <c r="E22" s="94">
        <v>1.49E-2</v>
      </c>
      <c r="G22" s="96">
        <v>14823.15</v>
      </c>
      <c r="H22" s="97">
        <v>1.3100000000000001E-2</v>
      </c>
      <c r="R22" s="99"/>
      <c r="S22" s="99"/>
      <c r="T22" s="99"/>
      <c r="U22" s="99"/>
      <c r="V22" s="95">
        <v>44318</v>
      </c>
      <c r="W22" s="96">
        <v>2401.64</v>
      </c>
      <c r="X22" s="97">
        <v>2.4400000000000002E-2</v>
      </c>
      <c r="Z22" s="96">
        <v>14823.15</v>
      </c>
      <c r="AA22" s="97">
        <v>1.3100000000000001E-2</v>
      </c>
      <c r="AL22" s="95">
        <v>44479</v>
      </c>
      <c r="AM22" s="96">
        <v>135</v>
      </c>
      <c r="AN22" s="97">
        <v>-8.3999999999999995E-3</v>
      </c>
      <c r="AP22" s="97">
        <v>2.4799999999999999E-2</v>
      </c>
      <c r="AQ22" s="101"/>
      <c r="AS22" s="60" t="s">
        <v>170</v>
      </c>
      <c r="AT22" s="60"/>
    </row>
    <row r="23" spans="3:50" x14ac:dyDescent="0.3">
      <c r="C23" s="95">
        <v>44325</v>
      </c>
      <c r="D23" s="96">
        <v>2844.65</v>
      </c>
      <c r="E23" s="97">
        <v>-1.7600000000000001E-2</v>
      </c>
      <c r="G23" s="93">
        <v>14677.8</v>
      </c>
      <c r="H23" s="94">
        <v>-9.7999999999999997E-3</v>
      </c>
      <c r="R23" s="99"/>
      <c r="S23" s="99"/>
      <c r="T23" s="99"/>
      <c r="U23" s="99"/>
      <c r="V23" s="92">
        <v>44325</v>
      </c>
      <c r="W23" s="96">
        <v>2367.42</v>
      </c>
      <c r="X23" s="94">
        <v>-1.4200000000000001E-2</v>
      </c>
      <c r="Z23" s="93">
        <v>14677.8</v>
      </c>
      <c r="AA23" s="94">
        <v>-9.7999999999999997E-3</v>
      </c>
      <c r="AL23" s="92">
        <v>44486</v>
      </c>
      <c r="AM23" s="96">
        <v>137.75</v>
      </c>
      <c r="AN23" s="94">
        <v>2.0400000000000001E-2</v>
      </c>
      <c r="AP23" s="94">
        <v>-1.2200000000000001E-2</v>
      </c>
      <c r="AQ23" s="101"/>
      <c r="AS23" s="57" t="s">
        <v>171</v>
      </c>
      <c r="AT23" s="57">
        <v>0.42984099603878284</v>
      </c>
    </row>
    <row r="24" spans="3:50" x14ac:dyDescent="0.3">
      <c r="C24" s="92">
        <v>44332</v>
      </c>
      <c r="D24" s="93">
        <v>3034.15</v>
      </c>
      <c r="E24" s="94">
        <v>6.6600000000000006E-2</v>
      </c>
      <c r="G24" s="96">
        <v>15175.3</v>
      </c>
      <c r="H24" s="97">
        <v>3.39E-2</v>
      </c>
      <c r="R24" s="99"/>
      <c r="S24" s="99"/>
      <c r="T24" s="99"/>
      <c r="U24" s="99"/>
      <c r="V24" s="95">
        <v>44332</v>
      </c>
      <c r="W24" s="96">
        <v>2352.88</v>
      </c>
      <c r="X24" s="97">
        <v>-6.1000000000000004E-3</v>
      </c>
      <c r="Z24" s="96">
        <v>15175.3</v>
      </c>
      <c r="AA24" s="97">
        <v>3.39E-2</v>
      </c>
      <c r="AL24" s="95">
        <v>44493</v>
      </c>
      <c r="AM24" s="96">
        <v>131.55000000000001</v>
      </c>
      <c r="AN24" s="97">
        <v>-4.4999999999999998E-2</v>
      </c>
      <c r="AP24" s="94">
        <v>-2.4500000000000001E-2</v>
      </c>
      <c r="AQ24" s="101"/>
      <c r="AS24" s="57" t="s">
        <v>172</v>
      </c>
      <c r="AT24" s="57">
        <v>0.18476328187561292</v>
      </c>
    </row>
    <row r="25" spans="3:50" x14ac:dyDescent="0.3">
      <c r="C25" s="95">
        <v>44339</v>
      </c>
      <c r="D25" s="96">
        <v>3022.1</v>
      </c>
      <c r="E25" s="97">
        <v>-4.0000000000000001E-3</v>
      </c>
      <c r="G25" s="93">
        <v>15435.65</v>
      </c>
      <c r="H25" s="94">
        <v>1.72E-2</v>
      </c>
      <c r="R25" s="99"/>
      <c r="S25" s="99"/>
      <c r="T25" s="99"/>
      <c r="U25" s="99"/>
      <c r="V25" s="92">
        <v>44339</v>
      </c>
      <c r="W25" s="96">
        <v>2312.4899999999998</v>
      </c>
      <c r="X25" s="94">
        <v>-1.72E-2</v>
      </c>
      <c r="Z25" s="93">
        <v>15435.65</v>
      </c>
      <c r="AA25" s="94">
        <v>1.72E-2</v>
      </c>
      <c r="AC25" t="s">
        <v>169</v>
      </c>
      <c r="AL25" s="92">
        <v>44500</v>
      </c>
      <c r="AM25" s="96">
        <v>131.35</v>
      </c>
      <c r="AN25" s="94">
        <v>-1.5E-3</v>
      </c>
      <c r="AP25" s="97">
        <v>1.3899999999999999E-2</v>
      </c>
      <c r="AQ25" s="101"/>
      <c r="AS25" s="57" t="s">
        <v>173</v>
      </c>
      <c r="AT25" s="57">
        <v>0.17457282289905809</v>
      </c>
    </row>
    <row r="26" spans="3:50" ht="15" thickBot="1" x14ac:dyDescent="0.35">
      <c r="C26" s="92">
        <v>44346</v>
      </c>
      <c r="D26" s="93">
        <v>3197</v>
      </c>
      <c r="E26" s="94">
        <v>5.79E-2</v>
      </c>
      <c r="G26" s="93">
        <v>15670.25</v>
      </c>
      <c r="H26" s="94">
        <v>1.52E-2</v>
      </c>
      <c r="R26" s="99"/>
      <c r="S26" s="99"/>
      <c r="T26" s="99"/>
      <c r="U26" s="99"/>
      <c r="V26" s="95">
        <v>44346</v>
      </c>
      <c r="W26" s="96">
        <v>2332.7600000000002</v>
      </c>
      <c r="X26" s="97">
        <v>8.8000000000000005E-3</v>
      </c>
      <c r="Z26" s="93">
        <v>15670.25</v>
      </c>
      <c r="AA26" s="94">
        <v>1.52E-2</v>
      </c>
      <c r="AL26" s="95">
        <v>44507</v>
      </c>
      <c r="AM26" s="96">
        <v>153</v>
      </c>
      <c r="AN26" s="97">
        <v>0.1648</v>
      </c>
      <c r="AP26" s="94">
        <v>1.04E-2</v>
      </c>
      <c r="AQ26" s="101"/>
      <c r="AS26" s="57" t="s">
        <v>174</v>
      </c>
      <c r="AT26" s="57">
        <v>7.0983178859271037E-2</v>
      </c>
    </row>
    <row r="27" spans="3:50" ht="15" thickBot="1" x14ac:dyDescent="0.35">
      <c r="C27" s="95">
        <v>44353</v>
      </c>
      <c r="D27" s="96">
        <v>3175.55</v>
      </c>
      <c r="E27" s="97">
        <v>-6.7000000000000002E-3</v>
      </c>
      <c r="G27" s="96">
        <v>15799.35</v>
      </c>
      <c r="H27" s="97">
        <v>8.2000000000000007E-3</v>
      </c>
      <c r="R27" s="99"/>
      <c r="S27" s="99"/>
      <c r="T27" s="99"/>
      <c r="U27" s="99"/>
      <c r="V27" s="92">
        <v>44353</v>
      </c>
      <c r="W27" s="96">
        <v>2357.11</v>
      </c>
      <c r="X27" s="94">
        <v>1.04E-2</v>
      </c>
      <c r="Z27" s="96">
        <v>15799.35</v>
      </c>
      <c r="AA27" s="97">
        <v>8.2000000000000007E-3</v>
      </c>
      <c r="AC27" s="60" t="s">
        <v>170</v>
      </c>
      <c r="AD27" s="60"/>
      <c r="AL27" s="92">
        <v>44514</v>
      </c>
      <c r="AM27" s="96">
        <v>154.69999999999999</v>
      </c>
      <c r="AN27" s="94">
        <v>1.11E-2</v>
      </c>
      <c r="AP27" s="97">
        <v>-1.8700000000000001E-2</v>
      </c>
      <c r="AQ27" s="101"/>
      <c r="AS27" s="58" t="s">
        <v>175</v>
      </c>
      <c r="AT27" s="58">
        <v>82</v>
      </c>
    </row>
    <row r="28" spans="3:50" x14ac:dyDescent="0.3">
      <c r="C28" s="92">
        <v>44360</v>
      </c>
      <c r="D28" s="93">
        <v>3317.7</v>
      </c>
      <c r="E28" s="94">
        <v>4.48E-2</v>
      </c>
      <c r="G28" s="93">
        <v>15683.35</v>
      </c>
      <c r="H28" s="94">
        <v>-7.3000000000000001E-3</v>
      </c>
      <c r="R28" s="99"/>
      <c r="S28" s="99"/>
      <c r="T28" s="99"/>
      <c r="U28" s="99"/>
      <c r="V28" s="95">
        <v>44360</v>
      </c>
      <c r="W28" s="96">
        <v>2473.0500000000002</v>
      </c>
      <c r="X28" s="97">
        <v>4.9200000000000001E-2</v>
      </c>
      <c r="Z28" s="93">
        <v>15683.35</v>
      </c>
      <c r="AA28" s="94">
        <v>-7.3000000000000001E-3</v>
      </c>
      <c r="AC28" s="57" t="s">
        <v>171</v>
      </c>
      <c r="AD28" s="57">
        <v>0.4079923680189681</v>
      </c>
      <c r="AL28" s="95">
        <v>44521</v>
      </c>
      <c r="AM28" s="96">
        <v>148.15</v>
      </c>
      <c r="AN28" s="97">
        <v>-4.2299999999999997E-2</v>
      </c>
      <c r="AP28" s="94">
        <v>-4.1599999999999998E-2</v>
      </c>
      <c r="AQ28" s="101"/>
    </row>
    <row r="29" spans="3:50" ht="15" thickBot="1" x14ac:dyDescent="0.35">
      <c r="C29" s="95">
        <v>44367</v>
      </c>
      <c r="D29" s="96">
        <v>3315.35</v>
      </c>
      <c r="E29" s="97">
        <v>-6.9999999999999999E-4</v>
      </c>
      <c r="G29" s="96">
        <v>15860.35</v>
      </c>
      <c r="H29" s="97">
        <v>1.1299999999999999E-2</v>
      </c>
      <c r="R29" s="99"/>
      <c r="S29" s="99"/>
      <c r="T29" s="99"/>
      <c r="U29" s="99"/>
      <c r="V29" s="92">
        <v>44367</v>
      </c>
      <c r="W29" s="96">
        <v>2438.94</v>
      </c>
      <c r="X29" s="94">
        <v>-1.38E-2</v>
      </c>
      <c r="Z29" s="96">
        <v>15860.35</v>
      </c>
      <c r="AA29" s="97">
        <v>1.1299999999999999E-2</v>
      </c>
      <c r="AC29" s="57" t="s">
        <v>172</v>
      </c>
      <c r="AD29" s="57">
        <v>0.1664577723617251</v>
      </c>
      <c r="AL29" s="92">
        <v>44528</v>
      </c>
      <c r="AM29" s="96">
        <v>144.9</v>
      </c>
      <c r="AN29" s="94">
        <v>-2.1899999999999999E-2</v>
      </c>
      <c r="AP29" s="97">
        <v>0.01</v>
      </c>
      <c r="AQ29" s="101"/>
      <c r="AS29" t="s">
        <v>176</v>
      </c>
    </row>
    <row r="30" spans="3:50" x14ac:dyDescent="0.3">
      <c r="C30" s="92">
        <v>44374</v>
      </c>
      <c r="D30" s="93">
        <v>3314.3</v>
      </c>
      <c r="E30" s="94">
        <v>-2.9999999999999997E-4</v>
      </c>
      <c r="G30" s="93">
        <v>15722.2</v>
      </c>
      <c r="H30" s="94">
        <v>-8.6999999999999994E-3</v>
      </c>
      <c r="R30" s="99"/>
      <c r="S30" s="99"/>
      <c r="T30" s="99"/>
      <c r="U30" s="99"/>
      <c r="V30" s="92">
        <v>44374</v>
      </c>
      <c r="W30" s="96">
        <v>2477.44</v>
      </c>
      <c r="X30" s="94">
        <v>1.5800000000000002E-2</v>
      </c>
      <c r="Z30" s="93">
        <v>15722.2</v>
      </c>
      <c r="AA30" s="94">
        <v>-8.6999999999999994E-3</v>
      </c>
      <c r="AC30" s="57" t="s">
        <v>173</v>
      </c>
      <c r="AD30" s="57">
        <v>0.15828578973782045</v>
      </c>
      <c r="AL30" s="92">
        <v>44535</v>
      </c>
      <c r="AM30" s="96">
        <v>140.55000000000001</v>
      </c>
      <c r="AN30" s="94">
        <v>-0.03</v>
      </c>
      <c r="AP30" s="94">
        <v>1.83E-2</v>
      </c>
      <c r="AQ30" s="101"/>
      <c r="AS30" s="59"/>
      <c r="AT30" s="59" t="s">
        <v>180</v>
      </c>
      <c r="AU30" s="59" t="s">
        <v>181</v>
      </c>
      <c r="AV30" s="59" t="s">
        <v>182</v>
      </c>
      <c r="AW30" s="59" t="s">
        <v>183</v>
      </c>
      <c r="AX30" s="59" t="s">
        <v>184</v>
      </c>
    </row>
    <row r="31" spans="3:50" x14ac:dyDescent="0.3">
      <c r="C31" s="95">
        <v>44381</v>
      </c>
      <c r="D31" s="96">
        <v>3377.6</v>
      </c>
      <c r="E31" s="97">
        <v>1.9099999999999999E-2</v>
      </c>
      <c r="G31" s="96">
        <v>15689.8</v>
      </c>
      <c r="H31" s="97">
        <v>-2.0999999999999999E-3</v>
      </c>
      <c r="R31" s="99"/>
      <c r="S31" s="99"/>
      <c r="T31" s="99"/>
      <c r="U31" s="99"/>
      <c r="V31" s="95">
        <v>44381</v>
      </c>
      <c r="W31" s="96">
        <v>2441.73</v>
      </c>
      <c r="X31" s="97">
        <v>-1.44E-2</v>
      </c>
      <c r="Z31" s="96">
        <v>15689.8</v>
      </c>
      <c r="AA31" s="97">
        <v>-2.0999999999999999E-3</v>
      </c>
      <c r="AC31" s="57" t="s">
        <v>174</v>
      </c>
      <c r="AD31" s="57">
        <v>3.0143771907487665E-2</v>
      </c>
      <c r="AL31" s="95">
        <v>44542</v>
      </c>
      <c r="AM31" s="96">
        <v>135.35</v>
      </c>
      <c r="AN31" s="97">
        <v>-3.6999999999999998E-2</v>
      </c>
      <c r="AP31" s="94">
        <v>-0.03</v>
      </c>
      <c r="AQ31" s="101"/>
      <c r="AS31" s="57" t="s">
        <v>177</v>
      </c>
      <c r="AT31" s="57">
        <v>1</v>
      </c>
      <c r="AU31" s="57">
        <v>9.135510308359468E-2</v>
      </c>
      <c r="AV31" s="57">
        <v>9.135510308359468E-2</v>
      </c>
      <c r="AW31" s="57">
        <v>18.131006886019296</v>
      </c>
      <c r="AX31" s="57">
        <v>5.5742683379769666E-5</v>
      </c>
    </row>
    <row r="32" spans="3:50" ht="15" thickBot="1" x14ac:dyDescent="0.35">
      <c r="C32" s="92">
        <v>44388</v>
      </c>
      <c r="D32" s="93">
        <v>3349.2</v>
      </c>
      <c r="E32" s="94">
        <v>-8.3999999999999995E-3</v>
      </c>
      <c r="G32" s="93">
        <v>15923.4</v>
      </c>
      <c r="H32" s="94">
        <v>1.49E-2</v>
      </c>
      <c r="R32" s="99"/>
      <c r="S32" s="99"/>
      <c r="T32" s="99"/>
      <c r="U32" s="99"/>
      <c r="V32" s="92">
        <v>44388</v>
      </c>
      <c r="W32" s="96">
        <v>2407.81</v>
      </c>
      <c r="X32" s="94">
        <v>-1.3899999999999999E-2</v>
      </c>
      <c r="Z32" s="93">
        <v>15923.4</v>
      </c>
      <c r="AA32" s="94">
        <v>1.49E-2</v>
      </c>
      <c r="AC32" s="58" t="s">
        <v>175</v>
      </c>
      <c r="AD32" s="58">
        <v>104</v>
      </c>
      <c r="AL32" s="92">
        <v>44549</v>
      </c>
      <c r="AM32" s="96">
        <v>131.44999999999999</v>
      </c>
      <c r="AN32" s="94">
        <v>-2.8799999999999999E-2</v>
      </c>
      <c r="AP32" s="97">
        <v>1.1000000000000001E-3</v>
      </c>
      <c r="AQ32" s="101"/>
      <c r="AS32" s="57" t="s">
        <v>178</v>
      </c>
      <c r="AT32" s="57">
        <v>80</v>
      </c>
      <c r="AU32" s="57">
        <v>0.40308893447738092</v>
      </c>
      <c r="AV32" s="57">
        <v>5.0386116809672619E-3</v>
      </c>
      <c r="AW32" s="57"/>
      <c r="AX32" s="57"/>
    </row>
    <row r="33" spans="3:53" ht="15" thickBot="1" x14ac:dyDescent="0.35">
      <c r="C33" s="95">
        <v>44395</v>
      </c>
      <c r="D33" s="96">
        <v>3413.2</v>
      </c>
      <c r="E33" s="97">
        <v>1.9099999999999999E-2</v>
      </c>
      <c r="G33" s="93">
        <v>15856.05</v>
      </c>
      <c r="H33" s="94">
        <v>-4.1999999999999997E-3</v>
      </c>
      <c r="R33" s="99"/>
      <c r="S33" s="99"/>
      <c r="T33" s="99"/>
      <c r="U33" s="99"/>
      <c r="V33" s="95">
        <v>44395</v>
      </c>
      <c r="W33" s="96">
        <v>2348.75</v>
      </c>
      <c r="X33" s="97">
        <v>-2.4500000000000001E-2</v>
      </c>
      <c r="Z33" s="93">
        <v>15856.05</v>
      </c>
      <c r="AA33" s="94">
        <v>-4.1999999999999997E-3</v>
      </c>
      <c r="AL33" s="95">
        <v>44556</v>
      </c>
      <c r="AM33" s="96">
        <v>137.4</v>
      </c>
      <c r="AN33" s="97">
        <v>4.53E-2</v>
      </c>
      <c r="AP33" s="94">
        <v>2.06E-2</v>
      </c>
      <c r="AQ33" s="101"/>
      <c r="AS33" s="58" t="s">
        <v>13</v>
      </c>
      <c r="AT33" s="58">
        <v>81</v>
      </c>
      <c r="AU33" s="58">
        <v>0.4944440375609756</v>
      </c>
      <c r="AV33" s="58"/>
      <c r="AW33" s="58"/>
      <c r="AX33" s="58"/>
    </row>
    <row r="34" spans="3:53" ht="15" thickBot="1" x14ac:dyDescent="0.35">
      <c r="C34" s="92">
        <v>44402</v>
      </c>
      <c r="D34" s="93">
        <v>3500.8</v>
      </c>
      <c r="E34" s="94">
        <v>2.5700000000000001E-2</v>
      </c>
      <c r="G34" s="96">
        <v>15763.05</v>
      </c>
      <c r="H34" s="97">
        <v>-5.8999999999999999E-3</v>
      </c>
      <c r="R34" s="99"/>
      <c r="S34" s="99"/>
      <c r="T34" s="99"/>
      <c r="U34" s="99"/>
      <c r="V34" s="92">
        <v>44402</v>
      </c>
      <c r="W34" s="96">
        <v>2324.0500000000002</v>
      </c>
      <c r="X34" s="94">
        <v>-1.0500000000000001E-2</v>
      </c>
      <c r="Z34" s="96">
        <v>15763.05</v>
      </c>
      <c r="AA34" s="97">
        <v>-5.8999999999999999E-3</v>
      </c>
      <c r="AC34" t="s">
        <v>176</v>
      </c>
      <c r="AL34" s="92">
        <v>44563</v>
      </c>
      <c r="AM34" s="96">
        <v>129.25</v>
      </c>
      <c r="AN34" s="94">
        <v>-5.9299999999999999E-2</v>
      </c>
      <c r="AP34" s="97">
        <v>2.64E-2</v>
      </c>
      <c r="AQ34" s="101"/>
    </row>
    <row r="35" spans="3:53" x14ac:dyDescent="0.3">
      <c r="C35" s="95">
        <v>44409</v>
      </c>
      <c r="D35" s="96">
        <v>3529.2</v>
      </c>
      <c r="E35" s="97">
        <v>8.0999999999999996E-3</v>
      </c>
      <c r="G35" s="93">
        <v>16238.2</v>
      </c>
      <c r="H35" s="94">
        <v>3.0099999999999998E-2</v>
      </c>
      <c r="R35" s="99"/>
      <c r="S35" s="99"/>
      <c r="T35" s="99"/>
      <c r="U35" s="99"/>
      <c r="V35" s="95">
        <v>44409</v>
      </c>
      <c r="W35" s="96">
        <v>2362.09</v>
      </c>
      <c r="X35" s="97">
        <v>1.6400000000000001E-2</v>
      </c>
      <c r="Z35" s="93">
        <v>16238.2</v>
      </c>
      <c r="AA35" s="94">
        <v>3.0099999999999998E-2</v>
      </c>
      <c r="AC35" s="59"/>
      <c r="AD35" s="59" t="s">
        <v>180</v>
      </c>
      <c r="AE35" s="59" t="s">
        <v>181</v>
      </c>
      <c r="AF35" s="59" t="s">
        <v>182</v>
      </c>
      <c r="AG35" s="59" t="s">
        <v>183</v>
      </c>
      <c r="AH35" s="59" t="s">
        <v>184</v>
      </c>
      <c r="AL35" s="95">
        <v>44570</v>
      </c>
      <c r="AM35" s="96">
        <v>133.6</v>
      </c>
      <c r="AN35" s="97">
        <v>3.3700000000000001E-2</v>
      </c>
      <c r="AP35" s="94">
        <v>2.4899999999999999E-2</v>
      </c>
      <c r="AQ35" s="101"/>
      <c r="AS35" s="59"/>
      <c r="AT35" s="59" t="s">
        <v>185</v>
      </c>
      <c r="AU35" s="59" t="s">
        <v>174</v>
      </c>
      <c r="AV35" s="59" t="s">
        <v>186</v>
      </c>
      <c r="AW35" s="59" t="s">
        <v>187</v>
      </c>
      <c r="AX35" s="59" t="s">
        <v>188</v>
      </c>
      <c r="AY35" s="59" t="s">
        <v>189</v>
      </c>
      <c r="AZ35" s="59" t="s">
        <v>190</v>
      </c>
      <c r="BA35" s="59" t="s">
        <v>191</v>
      </c>
    </row>
    <row r="36" spans="3:53" x14ac:dyDescent="0.3">
      <c r="C36" s="92">
        <v>44416</v>
      </c>
      <c r="D36" s="93">
        <v>3594.55</v>
      </c>
      <c r="E36" s="94">
        <v>1.8499999999999999E-2</v>
      </c>
      <c r="G36" s="96">
        <v>16529.099999999999</v>
      </c>
      <c r="H36" s="97">
        <v>1.7899999999999999E-2</v>
      </c>
      <c r="R36" s="99"/>
      <c r="S36" s="99"/>
      <c r="T36" s="99"/>
      <c r="U36" s="99"/>
      <c r="V36" s="92">
        <v>44416</v>
      </c>
      <c r="W36" s="96">
        <v>2394.96</v>
      </c>
      <c r="X36" s="94">
        <v>1.3899999999999999E-2</v>
      </c>
      <c r="Z36" s="96">
        <v>16529.099999999999</v>
      </c>
      <c r="AA36" s="97">
        <v>1.7899999999999999E-2</v>
      </c>
      <c r="AC36" s="57" t="s">
        <v>177</v>
      </c>
      <c r="AD36" s="57">
        <v>1</v>
      </c>
      <c r="AE36" s="57">
        <v>1.8508526010852969E-2</v>
      </c>
      <c r="AF36" s="57">
        <v>1.8508526010852969E-2</v>
      </c>
      <c r="AG36" s="57">
        <v>20.369325293815898</v>
      </c>
      <c r="AH36" s="57">
        <v>1.7153430957488069E-5</v>
      </c>
      <c r="AL36" s="92">
        <v>44577</v>
      </c>
      <c r="AM36" s="96">
        <v>113.65</v>
      </c>
      <c r="AN36" s="94">
        <v>-0.14929999999999999</v>
      </c>
      <c r="AP36" s="97">
        <v>-3.5000000000000003E-2</v>
      </c>
      <c r="AQ36" s="101"/>
      <c r="AS36" s="57" t="s">
        <v>179</v>
      </c>
      <c r="AT36" s="57">
        <v>-1.0142178300518929E-2</v>
      </c>
      <c r="AU36" s="57">
        <v>7.8575385406684829E-3</v>
      </c>
      <c r="AV36" s="57">
        <v>-1.2907576905955691</v>
      </c>
      <c r="AW36" s="57">
        <v>0.20050551955433513</v>
      </c>
      <c r="AX36" s="57">
        <v>-2.5779178331400331E-2</v>
      </c>
      <c r="AY36" s="57">
        <v>5.4948217303624706E-3</v>
      </c>
      <c r="AZ36" s="57">
        <v>-2.5779178331400331E-2</v>
      </c>
      <c r="BA36" s="57">
        <v>5.4948217303624706E-3</v>
      </c>
    </row>
    <row r="37" spans="3:53" ht="15" thickBot="1" x14ac:dyDescent="0.35">
      <c r="C37" s="95">
        <v>44423</v>
      </c>
      <c r="D37" s="96">
        <v>3643.1</v>
      </c>
      <c r="E37" s="97">
        <v>1.35E-2</v>
      </c>
      <c r="G37" s="93">
        <v>16450.5</v>
      </c>
      <c r="H37" s="94">
        <v>-4.7999999999999996E-3</v>
      </c>
      <c r="R37" s="99"/>
      <c r="S37" s="99"/>
      <c r="T37" s="99"/>
      <c r="U37" s="99"/>
      <c r="V37" s="95">
        <v>44423</v>
      </c>
      <c r="W37" s="96">
        <v>2609.0100000000002</v>
      </c>
      <c r="X37" s="97">
        <v>8.9399999999999993E-2</v>
      </c>
      <c r="Z37" s="93">
        <v>16450.5</v>
      </c>
      <c r="AA37" s="94">
        <v>-4.7999999999999996E-3</v>
      </c>
      <c r="AC37" s="57" t="s">
        <v>178</v>
      </c>
      <c r="AD37" s="57">
        <v>102</v>
      </c>
      <c r="AE37" s="57">
        <v>9.2681992450685535E-2</v>
      </c>
      <c r="AF37" s="57">
        <v>9.0864698481064247E-4</v>
      </c>
      <c r="AG37" s="57"/>
      <c r="AH37" s="57"/>
      <c r="AL37" s="95">
        <v>44584</v>
      </c>
      <c r="AM37" s="96">
        <v>89.55</v>
      </c>
      <c r="AN37" s="97">
        <v>-0.21210000000000001</v>
      </c>
      <c r="AP37" s="94">
        <v>-2.92E-2</v>
      </c>
      <c r="AQ37" s="101"/>
      <c r="AS37" s="58" t="s">
        <v>236</v>
      </c>
      <c r="AT37" s="58">
        <v>1.5670688225190361</v>
      </c>
      <c r="AU37" s="58">
        <v>0.36802481987102059</v>
      </c>
      <c r="AV37" s="58">
        <v>4.2580520060256726</v>
      </c>
      <c r="AW37" s="58">
        <v>5.5742683379770818E-5</v>
      </c>
      <c r="AX37" s="58">
        <v>0.83467609037996116</v>
      </c>
      <c r="AY37" s="58">
        <v>2.299461554658111</v>
      </c>
      <c r="AZ37" s="58">
        <v>0.83467609037996116</v>
      </c>
      <c r="BA37" s="58">
        <v>2.299461554658111</v>
      </c>
    </row>
    <row r="38" spans="3:53" ht="15" thickBot="1" x14ac:dyDescent="0.35">
      <c r="C38" s="92">
        <v>44430</v>
      </c>
      <c r="D38" s="93">
        <v>3833.05</v>
      </c>
      <c r="E38" s="94">
        <v>5.21E-2</v>
      </c>
      <c r="G38" s="96">
        <v>16705.2</v>
      </c>
      <c r="H38" s="97">
        <v>1.55E-2</v>
      </c>
      <c r="R38" s="99"/>
      <c r="S38" s="99"/>
      <c r="T38" s="99"/>
      <c r="U38" s="99"/>
      <c r="V38" s="92">
        <v>44430</v>
      </c>
      <c r="W38" s="96">
        <v>2667.33</v>
      </c>
      <c r="X38" s="94">
        <v>2.24E-2</v>
      </c>
      <c r="Z38" s="96">
        <v>16705.2</v>
      </c>
      <c r="AA38" s="97">
        <v>1.55E-2</v>
      </c>
      <c r="AC38" s="58" t="s">
        <v>13</v>
      </c>
      <c r="AD38" s="58">
        <v>103</v>
      </c>
      <c r="AE38" s="58">
        <v>0.1111905184615385</v>
      </c>
      <c r="AF38" s="58"/>
      <c r="AG38" s="58"/>
      <c r="AH38" s="58"/>
      <c r="AL38" s="92">
        <v>44591</v>
      </c>
      <c r="AM38" s="96">
        <v>94.2</v>
      </c>
      <c r="AN38" s="94">
        <v>5.1900000000000002E-2</v>
      </c>
      <c r="AP38" s="94">
        <v>2.4199999999999999E-2</v>
      </c>
      <c r="AQ38" s="101"/>
    </row>
    <row r="39" spans="3:53" ht="15" thickBot="1" x14ac:dyDescent="0.35">
      <c r="C39" s="95">
        <v>44437</v>
      </c>
      <c r="D39" s="96">
        <v>3938.9</v>
      </c>
      <c r="E39" s="97">
        <v>2.76E-2</v>
      </c>
      <c r="G39" s="93">
        <v>17323.599999999999</v>
      </c>
      <c r="H39" s="94">
        <v>3.6999999999999998E-2</v>
      </c>
      <c r="R39" s="99"/>
      <c r="S39" s="99"/>
      <c r="T39" s="99"/>
      <c r="U39" s="99"/>
      <c r="V39" s="92">
        <v>44437</v>
      </c>
      <c r="W39" s="96">
        <v>2755.73</v>
      </c>
      <c r="X39" s="94">
        <v>3.3099999999999997E-2</v>
      </c>
      <c r="Z39" s="93">
        <v>17323.599999999999</v>
      </c>
      <c r="AA39" s="94">
        <v>3.6999999999999998E-2</v>
      </c>
      <c r="AL39" s="95">
        <v>44598</v>
      </c>
      <c r="AM39" s="96">
        <v>88.7</v>
      </c>
      <c r="AN39" s="97">
        <v>-5.8400000000000001E-2</v>
      </c>
      <c r="AP39" s="97">
        <v>-8.0999999999999996E-3</v>
      </c>
      <c r="AQ39" s="101"/>
    </row>
    <row r="40" spans="3:53" x14ac:dyDescent="0.3">
      <c r="C40" s="92">
        <v>44444</v>
      </c>
      <c r="D40" s="93">
        <v>3950.5</v>
      </c>
      <c r="E40" s="94">
        <v>2.8999999999999998E-3</v>
      </c>
      <c r="G40" s="93">
        <v>17369.25</v>
      </c>
      <c r="H40" s="94">
        <v>2.5999999999999999E-3</v>
      </c>
      <c r="R40" s="99"/>
      <c r="S40" s="99"/>
      <c r="T40" s="99"/>
      <c r="U40" s="99"/>
      <c r="V40" s="95">
        <v>44444</v>
      </c>
      <c r="W40" s="96">
        <v>2799.5</v>
      </c>
      <c r="X40" s="97">
        <v>1.5900000000000001E-2</v>
      </c>
      <c r="Z40" s="93">
        <v>17369.25</v>
      </c>
      <c r="AA40" s="94">
        <v>2.5999999999999999E-3</v>
      </c>
      <c r="AC40" s="59"/>
      <c r="AD40" s="59" t="s">
        <v>185</v>
      </c>
      <c r="AE40" s="59" t="s">
        <v>174</v>
      </c>
      <c r="AF40" s="59" t="s">
        <v>186</v>
      </c>
      <c r="AG40" s="59" t="s">
        <v>187</v>
      </c>
      <c r="AH40" s="59" t="s">
        <v>188</v>
      </c>
      <c r="AI40" s="115"/>
      <c r="AJ40" s="115"/>
      <c r="AL40" s="92">
        <v>44605</v>
      </c>
      <c r="AM40" s="96">
        <v>85.9</v>
      </c>
      <c r="AN40" s="94">
        <v>-3.1600000000000003E-2</v>
      </c>
      <c r="AP40" s="94">
        <v>-5.7000000000000002E-3</v>
      </c>
      <c r="AQ40" s="101"/>
    </row>
    <row r="41" spans="3:53" x14ac:dyDescent="0.3">
      <c r="C41" s="95">
        <v>44451</v>
      </c>
      <c r="D41" s="96">
        <v>4239.6499999999996</v>
      </c>
      <c r="E41" s="97">
        <v>7.3200000000000001E-2</v>
      </c>
      <c r="G41" s="96">
        <v>17585.150000000001</v>
      </c>
      <c r="H41" s="97">
        <v>1.24E-2</v>
      </c>
      <c r="R41" s="99"/>
      <c r="S41" s="99"/>
      <c r="T41" s="99"/>
      <c r="U41" s="99"/>
      <c r="V41" s="92">
        <v>44451</v>
      </c>
      <c r="W41" s="96">
        <v>2711.45</v>
      </c>
      <c r="X41" s="94">
        <v>-3.15E-2</v>
      </c>
      <c r="Z41" s="96">
        <v>17585.150000000001</v>
      </c>
      <c r="AA41" s="97">
        <v>1.24E-2</v>
      </c>
      <c r="AC41" s="57" t="s">
        <v>179</v>
      </c>
      <c r="AD41" s="57">
        <v>7.0350567326118692E-4</v>
      </c>
      <c r="AE41" s="57">
        <v>2.9698487498721017E-3</v>
      </c>
      <c r="AF41" s="57">
        <v>0.23688266053666329</v>
      </c>
      <c r="AG41" s="57">
        <v>0.81322291393527291</v>
      </c>
      <c r="AH41" s="57">
        <v>-5.187175240759026E-3</v>
      </c>
      <c r="AI41" s="57"/>
      <c r="AJ41" s="57"/>
      <c r="AL41" s="92">
        <v>44612</v>
      </c>
      <c r="AM41" s="96">
        <v>78.8</v>
      </c>
      <c r="AN41" s="94">
        <v>-8.2699999999999996E-2</v>
      </c>
      <c r="AP41" s="97">
        <v>-3.5799999999999998E-2</v>
      </c>
      <c r="AQ41" s="101"/>
    </row>
    <row r="42" spans="3:53" ht="15" thickBot="1" x14ac:dyDescent="0.35">
      <c r="C42" s="92">
        <v>44458</v>
      </c>
      <c r="D42" s="93">
        <v>4422.3500000000004</v>
      </c>
      <c r="E42" s="94">
        <v>4.3099999999999999E-2</v>
      </c>
      <c r="G42" s="93">
        <v>17853.2</v>
      </c>
      <c r="H42" s="94">
        <v>1.52E-2</v>
      </c>
      <c r="R42" s="99"/>
      <c r="S42" s="99"/>
      <c r="T42" s="99"/>
      <c r="U42" s="99"/>
      <c r="V42" s="95">
        <v>44458</v>
      </c>
      <c r="W42" s="96">
        <v>2735.76</v>
      </c>
      <c r="X42" s="97">
        <v>8.9999999999999993E-3</v>
      </c>
      <c r="Z42" s="93">
        <v>17853.2</v>
      </c>
      <c r="AA42" s="94">
        <v>1.52E-2</v>
      </c>
      <c r="AC42" s="58" t="s">
        <v>236</v>
      </c>
      <c r="AD42" s="58">
        <v>0.65936328610841866</v>
      </c>
      <c r="AE42" s="58">
        <v>0.14609536564013109</v>
      </c>
      <c r="AF42" s="58">
        <v>4.5132388917290713</v>
      </c>
      <c r="AG42" s="58">
        <v>1.7153430957488449E-5</v>
      </c>
      <c r="AH42" s="58">
        <v>0.3695838210632082</v>
      </c>
      <c r="AI42" s="57"/>
      <c r="AJ42" s="57"/>
      <c r="AL42" s="95">
        <v>44619</v>
      </c>
      <c r="AM42" s="96">
        <v>80.2</v>
      </c>
      <c r="AN42" s="97">
        <v>1.78E-2</v>
      </c>
      <c r="AP42" s="94">
        <v>-2.4799999999999999E-2</v>
      </c>
      <c r="AQ42" s="101"/>
    </row>
    <row r="43" spans="3:53" x14ac:dyDescent="0.3">
      <c r="C43" s="95">
        <v>44465</v>
      </c>
      <c r="D43" s="96">
        <v>4235.6000000000004</v>
      </c>
      <c r="E43" s="97">
        <v>-4.2200000000000001E-2</v>
      </c>
      <c r="G43" s="96">
        <v>17532.05</v>
      </c>
      <c r="H43" s="97">
        <v>-1.7999999999999999E-2</v>
      </c>
      <c r="R43" s="99"/>
      <c r="S43" s="99"/>
      <c r="T43" s="99"/>
      <c r="U43" s="99"/>
      <c r="V43" s="92">
        <v>44465</v>
      </c>
      <c r="W43" s="96">
        <v>2693.33</v>
      </c>
      <c r="X43" s="94">
        <v>-1.55E-2</v>
      </c>
      <c r="Z43" s="96">
        <v>17532.05</v>
      </c>
      <c r="AA43" s="97">
        <v>-1.7999999999999999E-2</v>
      </c>
      <c r="AL43" s="92">
        <v>44626</v>
      </c>
      <c r="AM43" s="96">
        <v>79.900000000000006</v>
      </c>
      <c r="AN43" s="94">
        <v>-3.7000000000000002E-3</v>
      </c>
      <c r="AP43" s="97">
        <v>2.3699999999999999E-2</v>
      </c>
      <c r="AQ43" s="101"/>
    </row>
    <row r="44" spans="3:53" x14ac:dyDescent="0.3">
      <c r="C44" s="92">
        <v>44472</v>
      </c>
      <c r="D44" s="93">
        <v>4407.95</v>
      </c>
      <c r="E44" s="94">
        <v>4.07E-2</v>
      </c>
      <c r="G44" s="93">
        <v>17895.2</v>
      </c>
      <c r="H44" s="94">
        <v>2.07E-2</v>
      </c>
      <c r="R44" s="99"/>
      <c r="S44" s="99"/>
      <c r="T44" s="99"/>
      <c r="U44" s="99"/>
      <c r="V44" s="95">
        <v>44472</v>
      </c>
      <c r="W44" s="96">
        <v>2629.58</v>
      </c>
      <c r="X44" s="97">
        <v>-2.3699999999999999E-2</v>
      </c>
      <c r="Z44" s="93">
        <v>17895.2</v>
      </c>
      <c r="AA44" s="94">
        <v>2.07E-2</v>
      </c>
      <c r="AL44" s="95">
        <v>44633</v>
      </c>
      <c r="AM44" s="96">
        <v>80.849999999999994</v>
      </c>
      <c r="AN44" s="97">
        <v>1.1900000000000001E-2</v>
      </c>
      <c r="AP44" s="94">
        <v>3.95E-2</v>
      </c>
      <c r="AQ44" s="101"/>
    </row>
    <row r="45" spans="3:53" x14ac:dyDescent="0.3">
      <c r="C45" s="95">
        <v>44479</v>
      </c>
      <c r="D45" s="96">
        <v>5323.75</v>
      </c>
      <c r="E45" s="97">
        <v>0.20780000000000001</v>
      </c>
      <c r="G45" s="96">
        <v>18338.55</v>
      </c>
      <c r="H45" s="97">
        <v>2.4799999999999999E-2</v>
      </c>
      <c r="R45" s="99"/>
      <c r="S45" s="99"/>
      <c r="T45" s="99"/>
      <c r="U45" s="99"/>
      <c r="V45" s="92">
        <v>44479</v>
      </c>
      <c r="W45" s="96">
        <v>2639.04</v>
      </c>
      <c r="X45" s="94">
        <v>3.5999999999999999E-3</v>
      </c>
      <c r="Z45" s="96">
        <v>18338.55</v>
      </c>
      <c r="AA45" s="97">
        <v>2.4799999999999999E-2</v>
      </c>
      <c r="AL45" s="92">
        <v>44640</v>
      </c>
      <c r="AM45" s="96">
        <v>80.599999999999994</v>
      </c>
      <c r="AN45" s="94">
        <v>-3.0999999999999999E-3</v>
      </c>
      <c r="AP45" s="94">
        <v>-7.7999999999999996E-3</v>
      </c>
      <c r="AQ45" s="101"/>
    </row>
    <row r="46" spans="3:53" x14ac:dyDescent="0.3">
      <c r="C46" s="92">
        <v>44486</v>
      </c>
      <c r="D46" s="93">
        <v>4521.45</v>
      </c>
      <c r="E46" s="94">
        <v>-0.1507</v>
      </c>
      <c r="G46" s="93">
        <v>18114.900000000001</v>
      </c>
      <c r="H46" s="94">
        <v>-1.2200000000000001E-2</v>
      </c>
      <c r="R46" s="99"/>
      <c r="S46" s="99"/>
      <c r="T46" s="99"/>
      <c r="U46" s="99"/>
      <c r="V46" s="95">
        <v>44486</v>
      </c>
      <c r="W46" s="96">
        <v>2444.37</v>
      </c>
      <c r="X46" s="97">
        <v>-7.3800000000000004E-2</v>
      </c>
      <c r="Z46" s="93">
        <v>18114.900000000001</v>
      </c>
      <c r="AA46" s="94">
        <v>-1.2200000000000001E-2</v>
      </c>
      <c r="AL46" s="95">
        <v>44647</v>
      </c>
      <c r="AM46" s="96">
        <v>84.3</v>
      </c>
      <c r="AN46" s="97">
        <v>4.5900000000000003E-2</v>
      </c>
      <c r="AP46" s="97">
        <v>3.0200000000000001E-2</v>
      </c>
      <c r="AQ46" s="101"/>
    </row>
    <row r="47" spans="3:53" x14ac:dyDescent="0.3">
      <c r="C47" s="95">
        <v>44493</v>
      </c>
      <c r="D47" s="96">
        <v>4635.45</v>
      </c>
      <c r="E47" s="97">
        <v>2.52E-2</v>
      </c>
      <c r="G47" s="93">
        <v>17671.650000000001</v>
      </c>
      <c r="H47" s="94">
        <v>-2.4500000000000001E-2</v>
      </c>
      <c r="R47" s="99"/>
      <c r="S47" s="99"/>
      <c r="T47" s="99"/>
      <c r="U47" s="99"/>
      <c r="V47" s="92">
        <v>44493</v>
      </c>
      <c r="W47" s="96">
        <v>2383.66</v>
      </c>
      <c r="X47" s="94">
        <v>-2.4799999999999999E-2</v>
      </c>
      <c r="Z47" s="93">
        <v>17671.650000000001</v>
      </c>
      <c r="AA47" s="94">
        <v>-2.4500000000000001E-2</v>
      </c>
      <c r="AL47" s="92">
        <v>44654</v>
      </c>
      <c r="AM47" s="96">
        <v>83.4</v>
      </c>
      <c r="AN47" s="94">
        <v>-1.0699999999999999E-2</v>
      </c>
      <c r="AP47" s="94">
        <v>6.4000000000000003E-3</v>
      </c>
      <c r="AQ47" s="101"/>
    </row>
    <row r="48" spans="3:53" x14ac:dyDescent="0.3">
      <c r="C48" s="92">
        <v>44500</v>
      </c>
      <c r="D48" s="93">
        <v>4783.7</v>
      </c>
      <c r="E48" s="94">
        <v>3.2000000000000001E-2</v>
      </c>
      <c r="G48" s="96">
        <v>17916.8</v>
      </c>
      <c r="H48" s="97">
        <v>1.3899999999999999E-2</v>
      </c>
      <c r="R48" s="99"/>
      <c r="S48" s="99"/>
      <c r="T48" s="99"/>
      <c r="U48" s="99"/>
      <c r="V48" s="92">
        <v>44500</v>
      </c>
      <c r="W48" s="96">
        <v>2413.2399999999998</v>
      </c>
      <c r="X48" s="94">
        <v>1.24E-2</v>
      </c>
      <c r="Z48" s="96">
        <v>17916.8</v>
      </c>
      <c r="AA48" s="97">
        <v>1.3899999999999999E-2</v>
      </c>
      <c r="AL48" s="95">
        <v>44661</v>
      </c>
      <c r="AM48" s="96">
        <v>83.9</v>
      </c>
      <c r="AN48" s="97">
        <v>6.0000000000000001E-3</v>
      </c>
      <c r="AP48" s="97">
        <v>-1.7399999999999999E-2</v>
      </c>
      <c r="AQ48" s="101"/>
    </row>
    <row r="49" spans="3:43" x14ac:dyDescent="0.3">
      <c r="C49" s="95">
        <v>44507</v>
      </c>
      <c r="D49" s="96">
        <v>5078.55</v>
      </c>
      <c r="E49" s="97">
        <v>6.1600000000000002E-2</v>
      </c>
      <c r="G49" s="93">
        <v>18102.75</v>
      </c>
      <c r="H49" s="94">
        <v>1.04E-2</v>
      </c>
      <c r="R49" s="99"/>
      <c r="S49" s="99"/>
      <c r="T49" s="99"/>
      <c r="U49" s="99"/>
      <c r="V49" s="95">
        <v>44507</v>
      </c>
      <c r="W49" s="96">
        <v>2395.41</v>
      </c>
      <c r="X49" s="97">
        <v>-7.4000000000000003E-3</v>
      </c>
      <c r="Z49" s="93">
        <v>18102.75</v>
      </c>
      <c r="AA49" s="94">
        <v>1.04E-2</v>
      </c>
      <c r="AL49" s="92">
        <v>44668</v>
      </c>
      <c r="AM49" s="96">
        <v>81.2</v>
      </c>
      <c r="AN49" s="94">
        <v>-3.2199999999999999E-2</v>
      </c>
      <c r="AP49" s="94">
        <v>-1.7399999999999999E-2</v>
      </c>
      <c r="AQ49" s="101"/>
    </row>
    <row r="50" spans="3:43" x14ac:dyDescent="0.3">
      <c r="C50" s="92">
        <v>44514</v>
      </c>
      <c r="D50" s="93">
        <v>5080.8999999999996</v>
      </c>
      <c r="E50" s="94">
        <v>5.0000000000000001E-4</v>
      </c>
      <c r="G50" s="96">
        <v>17764.8</v>
      </c>
      <c r="H50" s="97">
        <v>-1.8700000000000001E-2</v>
      </c>
      <c r="R50" s="99"/>
      <c r="S50" s="99"/>
      <c r="T50" s="99"/>
      <c r="U50" s="99"/>
      <c r="V50" s="92">
        <v>44514</v>
      </c>
      <c r="W50" s="96">
        <v>2389.88</v>
      </c>
      <c r="X50" s="94">
        <v>-2.3E-3</v>
      </c>
      <c r="Z50" s="96">
        <v>17764.8</v>
      </c>
      <c r="AA50" s="97">
        <v>-1.8700000000000001E-2</v>
      </c>
      <c r="AL50" s="95">
        <v>44675</v>
      </c>
      <c r="AM50" s="96">
        <v>71.75</v>
      </c>
      <c r="AN50" s="97">
        <v>-0.1164</v>
      </c>
      <c r="AP50" s="97">
        <v>-4.0000000000000001E-3</v>
      </c>
      <c r="AQ50" s="101"/>
    </row>
    <row r="51" spans="3:43" x14ac:dyDescent="0.3">
      <c r="C51" s="95">
        <v>44521</v>
      </c>
      <c r="D51" s="96">
        <v>4718.75</v>
      </c>
      <c r="E51" s="97">
        <v>-7.1300000000000002E-2</v>
      </c>
      <c r="G51" s="93">
        <v>17026.45</v>
      </c>
      <c r="H51" s="94">
        <v>-4.1599999999999998E-2</v>
      </c>
      <c r="R51" s="99"/>
      <c r="S51" s="99"/>
      <c r="T51" s="99"/>
      <c r="U51" s="99"/>
      <c r="V51" s="95">
        <v>44521</v>
      </c>
      <c r="W51" s="96">
        <v>2325.84</v>
      </c>
      <c r="X51" s="97">
        <v>-2.6800000000000001E-2</v>
      </c>
      <c r="Z51" s="93">
        <v>17026.45</v>
      </c>
      <c r="AA51" s="94">
        <v>-4.1599999999999998E-2</v>
      </c>
      <c r="AL51" s="92">
        <v>44682</v>
      </c>
      <c r="AM51" s="96">
        <v>60.5</v>
      </c>
      <c r="AN51" s="94">
        <v>-0.15679999999999999</v>
      </c>
      <c r="AP51" s="94">
        <v>-4.0399999999999998E-2</v>
      </c>
      <c r="AQ51" s="101"/>
    </row>
    <row r="52" spans="3:43" x14ac:dyDescent="0.3">
      <c r="C52" s="92">
        <v>44528</v>
      </c>
      <c r="D52" s="93">
        <v>4799.05</v>
      </c>
      <c r="E52" s="94">
        <v>1.7000000000000001E-2</v>
      </c>
      <c r="G52" s="96">
        <v>17196.7</v>
      </c>
      <c r="H52" s="97">
        <v>0.01</v>
      </c>
      <c r="R52" s="99"/>
      <c r="S52" s="99"/>
      <c r="T52" s="99"/>
      <c r="U52" s="99"/>
      <c r="V52" s="92">
        <v>44528</v>
      </c>
      <c r="W52" s="96">
        <v>2334.35</v>
      </c>
      <c r="X52" s="94">
        <v>3.7000000000000002E-3</v>
      </c>
      <c r="Z52" s="96">
        <v>17196.7</v>
      </c>
      <c r="AA52" s="97">
        <v>0.01</v>
      </c>
      <c r="AL52" s="92">
        <v>44689</v>
      </c>
      <c r="AM52" s="96">
        <v>56.85</v>
      </c>
      <c r="AN52" s="94">
        <v>-6.0299999999999999E-2</v>
      </c>
      <c r="AP52" s="94">
        <v>-3.8300000000000001E-2</v>
      </c>
      <c r="AQ52" s="101"/>
    </row>
    <row r="53" spans="3:43" x14ac:dyDescent="0.3">
      <c r="C53" s="95">
        <v>44535</v>
      </c>
      <c r="D53" s="96">
        <v>4796.6000000000004</v>
      </c>
      <c r="E53" s="97">
        <v>-5.0000000000000001E-4</v>
      </c>
      <c r="G53" s="93">
        <v>17511.3</v>
      </c>
      <c r="H53" s="94">
        <v>1.83E-2</v>
      </c>
      <c r="R53" s="99"/>
      <c r="S53" s="99"/>
      <c r="T53" s="99"/>
      <c r="U53" s="99"/>
      <c r="V53" s="95">
        <v>44535</v>
      </c>
      <c r="W53" s="96">
        <v>2323.5500000000002</v>
      </c>
      <c r="X53" s="97">
        <v>-4.5999999999999999E-3</v>
      </c>
      <c r="Z53" s="93">
        <v>17511.3</v>
      </c>
      <c r="AA53" s="94">
        <v>1.83E-2</v>
      </c>
      <c r="AL53" s="95">
        <v>44696</v>
      </c>
      <c r="AM53" s="96">
        <v>58.05</v>
      </c>
      <c r="AN53" s="97">
        <v>2.1100000000000001E-2</v>
      </c>
      <c r="AP53" s="97">
        <v>3.0700000000000002E-2</v>
      </c>
      <c r="AQ53" s="101"/>
    </row>
    <row r="54" spans="3:43" x14ac:dyDescent="0.3">
      <c r="C54" s="92">
        <v>44542</v>
      </c>
      <c r="D54" s="93">
        <v>4697.8</v>
      </c>
      <c r="E54" s="94">
        <v>-2.06E-2</v>
      </c>
      <c r="G54" s="93">
        <v>16985.2</v>
      </c>
      <c r="H54" s="94">
        <v>-0.03</v>
      </c>
      <c r="R54" s="99"/>
      <c r="S54" s="99"/>
      <c r="T54" s="99"/>
      <c r="U54" s="99"/>
      <c r="V54" s="92">
        <v>44542</v>
      </c>
      <c r="W54" s="96">
        <v>2221.41</v>
      </c>
      <c r="X54" s="94">
        <v>-4.3999999999999997E-2</v>
      </c>
      <c r="Z54" s="93">
        <v>16985.2</v>
      </c>
      <c r="AA54" s="94">
        <v>-0.03</v>
      </c>
      <c r="AL54" s="92">
        <v>44703</v>
      </c>
      <c r="AM54" s="96">
        <v>62.05</v>
      </c>
      <c r="AN54" s="94">
        <v>6.8900000000000003E-2</v>
      </c>
      <c r="AP54" s="94">
        <v>5.3E-3</v>
      </c>
      <c r="AQ54" s="101"/>
    </row>
    <row r="55" spans="3:43" x14ac:dyDescent="0.3">
      <c r="C55" s="95">
        <v>44549</v>
      </c>
      <c r="D55" s="96">
        <v>4628.8999999999996</v>
      </c>
      <c r="E55" s="97">
        <v>-1.47E-2</v>
      </c>
      <c r="G55" s="96">
        <v>17003.75</v>
      </c>
      <c r="H55" s="97">
        <v>1.1000000000000001E-3</v>
      </c>
      <c r="R55" s="99"/>
      <c r="S55" s="99"/>
      <c r="T55" s="99"/>
      <c r="U55" s="99"/>
      <c r="V55" s="95">
        <v>44549</v>
      </c>
      <c r="W55" s="96">
        <v>2287.84</v>
      </c>
      <c r="X55" s="97">
        <v>2.9899999999999999E-2</v>
      </c>
      <c r="Z55" s="96">
        <v>17003.75</v>
      </c>
      <c r="AA55" s="97">
        <v>1.1000000000000001E-3</v>
      </c>
      <c r="AL55" s="95">
        <v>44710</v>
      </c>
      <c r="AM55" s="96">
        <v>72.150000000000006</v>
      </c>
      <c r="AN55" s="97">
        <v>0.1628</v>
      </c>
      <c r="AP55" s="97">
        <v>1.4200000000000001E-2</v>
      </c>
      <c r="AQ55" s="101"/>
    </row>
    <row r="56" spans="3:43" x14ac:dyDescent="0.3">
      <c r="C56" s="92">
        <v>44556</v>
      </c>
      <c r="D56" s="93">
        <v>4671.45</v>
      </c>
      <c r="E56" s="94">
        <v>9.1999999999999998E-3</v>
      </c>
      <c r="G56" s="93">
        <v>17354.05</v>
      </c>
      <c r="H56" s="94">
        <v>2.06E-2</v>
      </c>
      <c r="R56" s="99"/>
      <c r="S56" s="99"/>
      <c r="T56" s="99"/>
      <c r="U56" s="99"/>
      <c r="V56" s="92">
        <v>44556</v>
      </c>
      <c r="W56" s="96">
        <v>2350.79</v>
      </c>
      <c r="X56" s="94">
        <v>2.75E-2</v>
      </c>
      <c r="Z56" s="93">
        <v>17354.05</v>
      </c>
      <c r="AA56" s="94">
        <v>2.06E-2</v>
      </c>
      <c r="AL56" s="92">
        <v>44717</v>
      </c>
      <c r="AM56" s="96">
        <v>69</v>
      </c>
      <c r="AN56" s="94">
        <v>-4.3700000000000003E-2</v>
      </c>
      <c r="AP56" s="94">
        <v>-2.3099999999999999E-2</v>
      </c>
      <c r="AQ56" s="101"/>
    </row>
    <row r="57" spans="3:43" x14ac:dyDescent="0.3">
      <c r="C57" s="95">
        <v>44563</v>
      </c>
      <c r="D57" s="96">
        <v>4731.3500000000004</v>
      </c>
      <c r="E57" s="97">
        <v>1.2800000000000001E-2</v>
      </c>
      <c r="G57" s="96">
        <v>17812.7</v>
      </c>
      <c r="H57" s="97">
        <v>2.64E-2</v>
      </c>
      <c r="R57" s="99"/>
      <c r="S57" s="99"/>
      <c r="T57" s="99"/>
      <c r="U57" s="99"/>
      <c r="V57" s="92">
        <v>44563</v>
      </c>
      <c r="W57" s="96">
        <v>2406.5700000000002</v>
      </c>
      <c r="X57" s="94">
        <v>2.3699999999999999E-2</v>
      </c>
      <c r="Z57" s="96">
        <v>17812.7</v>
      </c>
      <c r="AA57" s="97">
        <v>2.64E-2</v>
      </c>
      <c r="AL57" s="95">
        <v>44724</v>
      </c>
      <c r="AM57" s="96">
        <v>67.05</v>
      </c>
      <c r="AN57" s="97">
        <v>-2.8299999999999999E-2</v>
      </c>
      <c r="AP57" s="97">
        <v>-5.6099999999999997E-2</v>
      </c>
      <c r="AQ57" s="101"/>
    </row>
    <row r="58" spans="3:43" x14ac:dyDescent="0.3">
      <c r="C58" s="92">
        <v>44570</v>
      </c>
      <c r="D58" s="93">
        <v>4322.7</v>
      </c>
      <c r="E58" s="94">
        <v>-8.6400000000000005E-2</v>
      </c>
      <c r="G58" s="93">
        <v>18255.75</v>
      </c>
      <c r="H58" s="94">
        <v>2.4899999999999999E-2</v>
      </c>
      <c r="R58" s="99"/>
      <c r="S58" s="99"/>
      <c r="T58" s="99"/>
      <c r="U58" s="99"/>
      <c r="V58" s="95">
        <v>44570</v>
      </c>
      <c r="W58" s="96">
        <v>2354.33</v>
      </c>
      <c r="X58" s="97">
        <v>-2.1700000000000001E-2</v>
      </c>
      <c r="Z58" s="93">
        <v>18255.75</v>
      </c>
      <c r="AA58" s="94">
        <v>2.4899999999999999E-2</v>
      </c>
      <c r="AL58" s="92">
        <v>44731</v>
      </c>
      <c r="AM58" s="96">
        <v>70.5</v>
      </c>
      <c r="AN58" s="94">
        <v>5.1499999999999997E-2</v>
      </c>
      <c r="AP58" s="94">
        <v>2.6499999999999999E-2</v>
      </c>
      <c r="AQ58" s="101"/>
    </row>
    <row r="59" spans="3:43" x14ac:dyDescent="0.3">
      <c r="C59" s="95">
        <v>44577</v>
      </c>
      <c r="D59" s="96">
        <v>4299.8</v>
      </c>
      <c r="E59" s="97">
        <v>-5.3E-3</v>
      </c>
      <c r="G59" s="96">
        <v>17617.150000000001</v>
      </c>
      <c r="H59" s="97">
        <v>-3.5000000000000003E-2</v>
      </c>
      <c r="R59" s="99"/>
      <c r="S59" s="99"/>
      <c r="T59" s="99"/>
      <c r="U59" s="99"/>
      <c r="V59" s="92">
        <v>44577</v>
      </c>
      <c r="W59" s="96">
        <v>2316.1799999999998</v>
      </c>
      <c r="X59" s="94">
        <v>-1.6199999999999999E-2</v>
      </c>
      <c r="Z59" s="96">
        <v>17617.150000000001</v>
      </c>
      <c r="AA59" s="97">
        <v>-3.5000000000000003E-2</v>
      </c>
      <c r="AL59" s="95">
        <v>44738</v>
      </c>
      <c r="AM59" s="96">
        <v>56.15</v>
      </c>
      <c r="AN59" s="97">
        <v>-0.20349999999999999</v>
      </c>
      <c r="AP59" s="94">
        <v>3.3999999999999998E-3</v>
      </c>
      <c r="AQ59" s="101"/>
    </row>
    <row r="60" spans="3:43" x14ac:dyDescent="0.3">
      <c r="C60" s="92">
        <v>44584</v>
      </c>
      <c r="D60" s="93">
        <v>4076</v>
      </c>
      <c r="E60" s="94">
        <v>-5.1999999999999998E-2</v>
      </c>
      <c r="G60" s="93">
        <v>17101.95</v>
      </c>
      <c r="H60" s="94">
        <v>-2.92E-2</v>
      </c>
      <c r="R60" s="99"/>
      <c r="S60" s="99"/>
      <c r="T60" s="99"/>
      <c r="U60" s="99"/>
      <c r="V60" s="95">
        <v>44584</v>
      </c>
      <c r="W60" s="96">
        <v>2274.4899999999998</v>
      </c>
      <c r="X60" s="97">
        <v>-1.7999999999999999E-2</v>
      </c>
      <c r="Z60" s="93">
        <v>17101.95</v>
      </c>
      <c r="AA60" s="94">
        <v>-2.92E-2</v>
      </c>
      <c r="AL60" s="92">
        <v>44745</v>
      </c>
      <c r="AM60" s="96">
        <v>54.8</v>
      </c>
      <c r="AN60" s="94">
        <v>-2.4E-2</v>
      </c>
      <c r="AP60" s="97">
        <v>2.9700000000000001E-2</v>
      </c>
      <c r="AQ60" s="101"/>
    </row>
    <row r="61" spans="3:43" x14ac:dyDescent="0.3">
      <c r="C61" s="95">
        <v>44591</v>
      </c>
      <c r="D61" s="96">
        <v>4081.9</v>
      </c>
      <c r="E61" s="97">
        <v>1.4E-3</v>
      </c>
      <c r="G61" s="93">
        <v>17516.3</v>
      </c>
      <c r="H61" s="94">
        <v>2.4199999999999999E-2</v>
      </c>
      <c r="R61" s="99"/>
      <c r="S61" s="99"/>
      <c r="T61" s="99"/>
      <c r="U61" s="99"/>
      <c r="V61" s="92">
        <v>44591</v>
      </c>
      <c r="W61" s="96">
        <v>2297.4499999999998</v>
      </c>
      <c r="X61" s="94">
        <v>1.01E-2</v>
      </c>
      <c r="Z61" s="93">
        <v>17516.3</v>
      </c>
      <c r="AA61" s="94">
        <v>2.4199999999999999E-2</v>
      </c>
      <c r="AL61" s="95">
        <v>44752</v>
      </c>
      <c r="AM61" s="96">
        <v>53.9</v>
      </c>
      <c r="AN61" s="97">
        <v>-1.6400000000000001E-2</v>
      </c>
      <c r="AP61" s="94">
        <v>-1.06E-2</v>
      </c>
      <c r="AQ61" s="101"/>
    </row>
    <row r="62" spans="3:43" x14ac:dyDescent="0.3">
      <c r="C62" s="92">
        <v>44598</v>
      </c>
      <c r="D62" s="93">
        <v>4142.25</v>
      </c>
      <c r="E62" s="94">
        <v>1.4800000000000001E-2</v>
      </c>
      <c r="G62" s="96">
        <v>17374.75</v>
      </c>
      <c r="H62" s="97">
        <v>-8.0999999999999996E-3</v>
      </c>
      <c r="R62" s="99"/>
      <c r="S62" s="99"/>
      <c r="T62" s="99"/>
      <c r="U62" s="99"/>
      <c r="V62" s="95">
        <v>44598</v>
      </c>
      <c r="W62" s="96">
        <v>2249.04</v>
      </c>
      <c r="X62" s="97">
        <v>-2.1100000000000001E-2</v>
      </c>
      <c r="Z62" s="96">
        <v>17374.75</v>
      </c>
      <c r="AA62" s="97">
        <v>-8.0999999999999996E-3</v>
      </c>
      <c r="AL62" s="92">
        <v>44759</v>
      </c>
      <c r="AM62" s="96">
        <v>53.65</v>
      </c>
      <c r="AN62" s="94">
        <v>-4.5999999999999999E-3</v>
      </c>
      <c r="AP62" s="97">
        <v>4.1799999999999997E-2</v>
      </c>
      <c r="AQ62" s="101"/>
    </row>
    <row r="63" spans="3:43" x14ac:dyDescent="0.3">
      <c r="C63" s="95">
        <v>44605</v>
      </c>
      <c r="D63" s="96">
        <v>4073.1</v>
      </c>
      <c r="E63" s="97">
        <v>-1.67E-2</v>
      </c>
      <c r="G63" s="93">
        <v>17276.3</v>
      </c>
      <c r="H63" s="94">
        <v>-5.7000000000000002E-3</v>
      </c>
      <c r="R63" s="99"/>
      <c r="S63" s="99"/>
      <c r="T63" s="99"/>
      <c r="U63" s="99"/>
      <c r="V63" s="92">
        <v>44605</v>
      </c>
      <c r="W63" s="96">
        <v>2303.38</v>
      </c>
      <c r="X63" s="94">
        <v>2.4199999999999999E-2</v>
      </c>
      <c r="Z63" s="93">
        <v>17276.3</v>
      </c>
      <c r="AA63" s="94">
        <v>-5.7000000000000002E-3</v>
      </c>
      <c r="AL63" s="92">
        <v>44766</v>
      </c>
      <c r="AM63" s="96">
        <v>46.8</v>
      </c>
      <c r="AN63" s="94">
        <v>-0.12770000000000001</v>
      </c>
      <c r="AP63" s="94">
        <v>2.6200000000000001E-2</v>
      </c>
      <c r="AQ63" s="101"/>
    </row>
    <row r="64" spans="3:43" x14ac:dyDescent="0.3">
      <c r="C64" s="92">
        <v>44612</v>
      </c>
      <c r="D64" s="93">
        <v>4190.75</v>
      </c>
      <c r="E64" s="94">
        <v>2.8899999999999999E-2</v>
      </c>
      <c r="G64" s="96">
        <v>16658.400000000001</v>
      </c>
      <c r="H64" s="97">
        <v>-3.5799999999999998E-2</v>
      </c>
      <c r="R64" s="99"/>
      <c r="S64" s="99"/>
      <c r="T64" s="99"/>
      <c r="U64" s="99"/>
      <c r="V64" s="95">
        <v>44612</v>
      </c>
      <c r="W64" s="96">
        <v>2162.09</v>
      </c>
      <c r="X64" s="97">
        <v>-6.13E-2</v>
      </c>
      <c r="Z64" s="96">
        <v>16658.400000000001</v>
      </c>
      <c r="AA64" s="97">
        <v>-3.5799999999999998E-2</v>
      </c>
      <c r="AL64" s="95">
        <v>44773</v>
      </c>
      <c r="AM64" s="96">
        <v>54.6</v>
      </c>
      <c r="AN64" s="97">
        <v>0.16669999999999999</v>
      </c>
      <c r="AP64" s="97">
        <v>1.3899999999999999E-2</v>
      </c>
      <c r="AQ64" s="101"/>
    </row>
    <row r="65" spans="3:43" x14ac:dyDescent="0.3">
      <c r="C65" s="95">
        <v>44619</v>
      </c>
      <c r="D65" s="96">
        <v>4110.2</v>
      </c>
      <c r="E65" s="97">
        <v>-1.9199999999999998E-2</v>
      </c>
      <c r="G65" s="93">
        <v>16245.35</v>
      </c>
      <c r="H65" s="94">
        <v>-2.4799999999999999E-2</v>
      </c>
      <c r="R65" s="99"/>
      <c r="S65" s="99"/>
      <c r="T65" s="99"/>
      <c r="U65" s="99"/>
      <c r="V65" s="92">
        <v>44619</v>
      </c>
      <c r="W65" s="96">
        <v>2011.49</v>
      </c>
      <c r="X65" s="94">
        <v>-6.9699999999999998E-2</v>
      </c>
      <c r="Z65" s="93">
        <v>16245.35</v>
      </c>
      <c r="AA65" s="94">
        <v>-2.4799999999999999E-2</v>
      </c>
      <c r="AL65" s="92">
        <v>44780</v>
      </c>
      <c r="AM65" s="96">
        <v>61.75</v>
      </c>
      <c r="AN65" s="94">
        <v>0.13100000000000001</v>
      </c>
      <c r="AP65" s="94">
        <v>1.7299999999999999E-2</v>
      </c>
      <c r="AQ65" s="101"/>
    </row>
    <row r="66" spans="3:43" x14ac:dyDescent="0.3">
      <c r="C66" s="92">
        <v>44626</v>
      </c>
      <c r="D66" s="93">
        <v>4198.95</v>
      </c>
      <c r="E66" s="94">
        <v>2.1600000000000001E-2</v>
      </c>
      <c r="G66" s="96">
        <v>16630.45</v>
      </c>
      <c r="H66" s="97">
        <v>2.3699999999999999E-2</v>
      </c>
      <c r="R66" s="99"/>
      <c r="S66" s="99"/>
      <c r="T66" s="99"/>
      <c r="U66" s="99"/>
      <c r="V66" s="92">
        <v>44626</v>
      </c>
      <c r="W66" s="96">
        <v>2086.09</v>
      </c>
      <c r="X66" s="94">
        <v>3.7100000000000001E-2</v>
      </c>
      <c r="Z66" s="96">
        <v>16630.45</v>
      </c>
      <c r="AA66" s="97">
        <v>2.3699999999999999E-2</v>
      </c>
      <c r="AL66" s="95">
        <v>44787</v>
      </c>
      <c r="AM66" s="96">
        <v>61.45</v>
      </c>
      <c r="AN66" s="97">
        <v>-4.8999999999999998E-3</v>
      </c>
      <c r="AP66" s="94">
        <v>3.3999999999999998E-3</v>
      </c>
      <c r="AQ66" s="101"/>
    </row>
    <row r="67" spans="3:43" x14ac:dyDescent="0.3">
      <c r="C67" s="95">
        <v>44633</v>
      </c>
      <c r="D67" s="96">
        <v>4192.75</v>
      </c>
      <c r="E67" s="97">
        <v>-1.5E-3</v>
      </c>
      <c r="G67" s="93">
        <v>17287.05</v>
      </c>
      <c r="H67" s="94">
        <v>3.95E-2</v>
      </c>
      <c r="R67" s="99"/>
      <c r="S67" s="99"/>
      <c r="T67" s="99"/>
      <c r="U67" s="99"/>
      <c r="V67" s="95">
        <v>44633</v>
      </c>
      <c r="W67" s="96">
        <v>2093.71</v>
      </c>
      <c r="X67" s="97">
        <v>3.7000000000000002E-3</v>
      </c>
      <c r="Z67" s="93">
        <v>17287.05</v>
      </c>
      <c r="AA67" s="94">
        <v>3.95E-2</v>
      </c>
      <c r="AL67" s="92">
        <v>44794</v>
      </c>
      <c r="AM67" s="96">
        <v>61.85</v>
      </c>
      <c r="AN67" s="94">
        <v>6.4999999999999997E-3</v>
      </c>
      <c r="AP67" s="97">
        <v>-1.12E-2</v>
      </c>
      <c r="AQ67" s="101"/>
    </row>
    <row r="68" spans="3:43" x14ac:dyDescent="0.3">
      <c r="C68" s="92">
        <v>44640</v>
      </c>
      <c r="D68" s="93">
        <v>4001.3</v>
      </c>
      <c r="E68" s="94">
        <v>-4.5699999999999998E-2</v>
      </c>
      <c r="G68" s="93">
        <v>17153</v>
      </c>
      <c r="H68" s="94">
        <v>-7.7999999999999996E-3</v>
      </c>
      <c r="R68" s="99"/>
      <c r="S68" s="99"/>
      <c r="T68" s="99"/>
      <c r="U68" s="99"/>
      <c r="V68" s="92">
        <v>44640</v>
      </c>
      <c r="W68" s="96">
        <v>1945.25</v>
      </c>
      <c r="X68" s="94">
        <v>-7.0900000000000005E-2</v>
      </c>
      <c r="Z68" s="93">
        <v>17153</v>
      </c>
      <c r="AA68" s="94">
        <v>-7.7999999999999996E-3</v>
      </c>
      <c r="AL68" s="95">
        <v>44801</v>
      </c>
      <c r="AM68" s="96">
        <v>59.75</v>
      </c>
      <c r="AN68" s="97">
        <v>-3.4000000000000002E-2</v>
      </c>
      <c r="AP68" s="94">
        <v>-1.1000000000000001E-3</v>
      </c>
      <c r="AQ68" s="101"/>
    </row>
    <row r="69" spans="3:43" x14ac:dyDescent="0.3">
      <c r="C69" s="95">
        <v>44647</v>
      </c>
      <c r="D69" s="96">
        <v>4082.2</v>
      </c>
      <c r="E69" s="97">
        <v>2.0199999999999999E-2</v>
      </c>
      <c r="G69" s="96">
        <v>17670.45</v>
      </c>
      <c r="H69" s="97">
        <v>3.0200000000000001E-2</v>
      </c>
      <c r="R69" s="99"/>
      <c r="S69" s="99"/>
      <c r="T69" s="99"/>
      <c r="U69" s="99"/>
      <c r="V69" s="95">
        <v>44647</v>
      </c>
      <c r="W69" s="96">
        <v>2069.91</v>
      </c>
      <c r="X69" s="97">
        <v>6.4100000000000004E-2</v>
      </c>
      <c r="Z69" s="96">
        <v>17670.45</v>
      </c>
      <c r="AA69" s="97">
        <v>3.0200000000000001E-2</v>
      </c>
      <c r="AL69" s="92">
        <v>44808</v>
      </c>
      <c r="AM69" s="96">
        <v>62.8</v>
      </c>
      <c r="AN69" s="94">
        <v>5.0999999999999997E-2</v>
      </c>
      <c r="AP69" s="97">
        <v>1.6799999999999999E-2</v>
      </c>
      <c r="AQ69" s="101"/>
    </row>
    <row r="70" spans="3:43" x14ac:dyDescent="0.3">
      <c r="C70" s="92">
        <v>44654</v>
      </c>
      <c r="D70" s="93">
        <v>4146.25</v>
      </c>
      <c r="E70" s="94">
        <v>1.5699999999999999E-2</v>
      </c>
      <c r="G70" s="93">
        <v>17784.349999999999</v>
      </c>
      <c r="H70" s="94">
        <v>6.4000000000000003E-3</v>
      </c>
      <c r="R70" s="99"/>
      <c r="S70" s="99"/>
      <c r="T70" s="99"/>
      <c r="U70" s="99"/>
      <c r="V70" s="92">
        <v>44654</v>
      </c>
      <c r="W70" s="96">
        <v>2174.39</v>
      </c>
      <c r="X70" s="94">
        <v>5.0500000000000003E-2</v>
      </c>
      <c r="Z70" s="93">
        <v>17784.349999999999</v>
      </c>
      <c r="AA70" s="94">
        <v>6.4000000000000003E-3</v>
      </c>
      <c r="AL70" s="95">
        <v>44815</v>
      </c>
      <c r="AM70" s="96">
        <v>63.2</v>
      </c>
      <c r="AN70" s="97">
        <v>6.4000000000000003E-3</v>
      </c>
      <c r="AP70" s="94">
        <v>-1.7000000000000001E-2</v>
      </c>
      <c r="AQ70" s="101"/>
    </row>
    <row r="71" spans="3:43" x14ac:dyDescent="0.3">
      <c r="C71" s="95">
        <v>44661</v>
      </c>
      <c r="D71" s="96">
        <v>4090.9</v>
      </c>
      <c r="E71" s="97">
        <v>-1.3299999999999999E-2</v>
      </c>
      <c r="G71" s="96">
        <v>17475.650000000001</v>
      </c>
      <c r="H71" s="97">
        <v>-1.7399999999999999E-2</v>
      </c>
      <c r="R71" s="99"/>
      <c r="S71" s="99"/>
      <c r="T71" s="99"/>
      <c r="U71" s="99"/>
      <c r="V71" s="95">
        <v>44661</v>
      </c>
      <c r="W71" s="96">
        <v>2143.61</v>
      </c>
      <c r="X71" s="97">
        <v>-1.4200000000000001E-2</v>
      </c>
      <c r="Z71" s="96">
        <v>17475.650000000001</v>
      </c>
      <c r="AA71" s="97">
        <v>-1.7399999999999999E-2</v>
      </c>
      <c r="AL71" s="92">
        <v>44822</v>
      </c>
      <c r="AM71" s="96">
        <v>60.8</v>
      </c>
      <c r="AN71" s="94">
        <v>-3.7999999999999999E-2</v>
      </c>
      <c r="AP71" s="97">
        <v>-1.1599999999999999E-2</v>
      </c>
      <c r="AQ71" s="101"/>
    </row>
    <row r="72" spans="3:43" x14ac:dyDescent="0.3">
      <c r="C72" s="92">
        <v>44668</v>
      </c>
      <c r="D72" s="93">
        <v>4028.85</v>
      </c>
      <c r="E72" s="94">
        <v>-1.52E-2</v>
      </c>
      <c r="G72" s="93">
        <v>17171.95</v>
      </c>
      <c r="H72" s="94">
        <v>-1.7399999999999999E-2</v>
      </c>
      <c r="R72" s="99"/>
      <c r="S72" s="99"/>
      <c r="T72" s="99"/>
      <c r="U72" s="99"/>
      <c r="V72" s="92">
        <v>44668</v>
      </c>
      <c r="W72" s="96">
        <v>2118.5100000000002</v>
      </c>
      <c r="X72" s="94">
        <v>-1.17E-2</v>
      </c>
      <c r="Z72" s="93">
        <v>17171.95</v>
      </c>
      <c r="AA72" s="94">
        <v>-1.7399999999999999E-2</v>
      </c>
      <c r="AL72" s="95">
        <v>44829</v>
      </c>
      <c r="AM72" s="96">
        <v>62.35</v>
      </c>
      <c r="AN72" s="97">
        <v>2.5499999999999998E-2</v>
      </c>
      <c r="AP72" s="94">
        <v>-1.34E-2</v>
      </c>
      <c r="AQ72" s="101"/>
    </row>
    <row r="73" spans="3:43" x14ac:dyDescent="0.3">
      <c r="C73" s="95">
        <v>44675</v>
      </c>
      <c r="D73" s="96">
        <v>3944.25</v>
      </c>
      <c r="E73" s="97">
        <v>-2.1000000000000001E-2</v>
      </c>
      <c r="G73" s="96">
        <v>17102.55</v>
      </c>
      <c r="H73" s="97">
        <v>-4.0000000000000001E-3</v>
      </c>
      <c r="R73" s="99"/>
      <c r="S73" s="99"/>
      <c r="T73" s="99"/>
      <c r="U73" s="99"/>
      <c r="V73" s="95">
        <v>44675</v>
      </c>
      <c r="W73" s="96">
        <v>2225.9899999999998</v>
      </c>
      <c r="X73" s="97">
        <v>5.0700000000000002E-2</v>
      </c>
      <c r="Z73" s="96">
        <v>17102.55</v>
      </c>
      <c r="AA73" s="97">
        <v>-4.0000000000000001E-3</v>
      </c>
      <c r="AL73" s="92">
        <v>44836</v>
      </c>
      <c r="AM73" s="96">
        <v>69.55</v>
      </c>
      <c r="AN73" s="94">
        <v>0.11550000000000001</v>
      </c>
      <c r="AP73" s="94">
        <v>1.29E-2</v>
      </c>
      <c r="AQ73" s="101"/>
    </row>
    <row r="74" spans="3:43" x14ac:dyDescent="0.3">
      <c r="C74" s="92">
        <v>44682</v>
      </c>
      <c r="D74" s="93">
        <v>3666.2</v>
      </c>
      <c r="E74" s="94">
        <v>-7.0499999999999993E-2</v>
      </c>
      <c r="G74" s="93">
        <v>16411.25</v>
      </c>
      <c r="H74" s="94">
        <v>-4.0399999999999998E-2</v>
      </c>
      <c r="R74" s="99"/>
      <c r="S74" s="99"/>
      <c r="T74" s="99"/>
      <c r="U74" s="99"/>
      <c r="V74" s="92">
        <v>44682</v>
      </c>
      <c r="W74" s="96">
        <v>2140.6799999999998</v>
      </c>
      <c r="X74" s="94">
        <v>-3.8300000000000001E-2</v>
      </c>
      <c r="Z74" s="93">
        <v>16411.25</v>
      </c>
      <c r="AA74" s="94">
        <v>-4.0399999999999998E-2</v>
      </c>
      <c r="AL74" s="92">
        <v>44843</v>
      </c>
      <c r="AM74" s="96">
        <v>61.9</v>
      </c>
      <c r="AN74" s="94">
        <v>-0.11</v>
      </c>
      <c r="AP74" s="97">
        <v>-7.4000000000000003E-3</v>
      </c>
      <c r="AQ74" s="101"/>
    </row>
    <row r="75" spans="3:43" x14ac:dyDescent="0.3">
      <c r="C75" s="95">
        <v>44689</v>
      </c>
      <c r="D75" s="96">
        <v>3230.6</v>
      </c>
      <c r="E75" s="97">
        <v>-0.1188</v>
      </c>
      <c r="G75" s="93">
        <v>15782.15</v>
      </c>
      <c r="H75" s="94">
        <v>-3.8300000000000001E-2</v>
      </c>
      <c r="R75" s="99"/>
      <c r="S75" s="99"/>
      <c r="T75" s="99"/>
      <c r="U75" s="99"/>
      <c r="V75" s="92">
        <v>44689</v>
      </c>
      <c r="W75" s="96">
        <v>2185.4</v>
      </c>
      <c r="X75" s="94">
        <v>2.0899999999999998E-2</v>
      </c>
      <c r="Z75" s="93">
        <v>15782.15</v>
      </c>
      <c r="AA75" s="94">
        <v>-3.8300000000000001E-2</v>
      </c>
      <c r="AL75" s="95">
        <v>44850</v>
      </c>
      <c r="AM75" s="96">
        <v>61.8</v>
      </c>
      <c r="AN75" s="97">
        <v>-1.6000000000000001E-3</v>
      </c>
      <c r="AP75" s="94">
        <v>2.2700000000000001E-2</v>
      </c>
      <c r="AQ75" s="101"/>
    </row>
    <row r="76" spans="3:43" x14ac:dyDescent="0.3">
      <c r="C76" s="92">
        <v>44696</v>
      </c>
      <c r="D76" s="93">
        <v>3630.4</v>
      </c>
      <c r="E76" s="94">
        <v>0.12379999999999999</v>
      </c>
      <c r="G76" s="96">
        <v>16266.15</v>
      </c>
      <c r="H76" s="97">
        <v>3.0700000000000002E-2</v>
      </c>
      <c r="J76" t="s">
        <v>169</v>
      </c>
      <c r="V76" s="95">
        <v>44696</v>
      </c>
      <c r="W76" s="96">
        <v>2316.73</v>
      </c>
      <c r="X76" s="97">
        <v>6.0100000000000001E-2</v>
      </c>
      <c r="Z76" s="96">
        <v>16266.15</v>
      </c>
      <c r="AA76" s="97">
        <v>3.0700000000000002E-2</v>
      </c>
      <c r="AL76" s="92">
        <v>44857</v>
      </c>
      <c r="AM76" s="96">
        <v>62.6</v>
      </c>
      <c r="AN76" s="94">
        <v>1.29E-2</v>
      </c>
      <c r="AP76" s="97">
        <v>1.2E-2</v>
      </c>
      <c r="AQ76" s="101"/>
    </row>
    <row r="77" spans="3:43" ht="15" thickBot="1" x14ac:dyDescent="0.35">
      <c r="C77" s="95">
        <v>44703</v>
      </c>
      <c r="D77" s="96">
        <v>3613.85</v>
      </c>
      <c r="E77" s="97">
        <v>-4.5999999999999999E-3</v>
      </c>
      <c r="G77" s="93">
        <v>16352.45</v>
      </c>
      <c r="H77" s="94">
        <v>5.3E-3</v>
      </c>
      <c r="V77" s="92">
        <v>44703</v>
      </c>
      <c r="W77" s="96">
        <v>2321.36</v>
      </c>
      <c r="X77" s="94">
        <v>2E-3</v>
      </c>
      <c r="Z77" s="93">
        <v>16352.45</v>
      </c>
      <c r="AA77" s="94">
        <v>5.3E-3</v>
      </c>
      <c r="AL77" s="95">
        <v>44864</v>
      </c>
      <c r="AM77" s="96">
        <v>63</v>
      </c>
      <c r="AN77" s="97">
        <v>6.4000000000000003E-3</v>
      </c>
      <c r="AP77" s="94">
        <v>1.8599999999999998E-2</v>
      </c>
      <c r="AQ77" s="101"/>
    </row>
    <row r="78" spans="3:43" x14ac:dyDescent="0.3">
      <c r="C78" s="92">
        <v>44710</v>
      </c>
      <c r="D78" s="93">
        <v>3820.1</v>
      </c>
      <c r="E78" s="94">
        <v>5.7099999999999998E-2</v>
      </c>
      <c r="G78" s="96">
        <v>16584.3</v>
      </c>
      <c r="H78" s="97">
        <v>1.4200000000000001E-2</v>
      </c>
      <c r="J78" s="60" t="s">
        <v>170</v>
      </c>
      <c r="K78" s="60"/>
      <c r="V78" s="95">
        <v>44710</v>
      </c>
      <c r="W78" s="96">
        <v>2282.86</v>
      </c>
      <c r="X78" s="97">
        <v>-1.66E-2</v>
      </c>
      <c r="Z78" s="96">
        <v>16584.3</v>
      </c>
      <c r="AA78" s="97">
        <v>1.4200000000000001E-2</v>
      </c>
      <c r="AL78" s="92">
        <v>44871</v>
      </c>
      <c r="AM78" s="96">
        <v>72.8</v>
      </c>
      <c r="AN78" s="94">
        <v>0.15559999999999999</v>
      </c>
      <c r="AP78" s="97">
        <v>1.2800000000000001E-2</v>
      </c>
      <c r="AQ78" s="101"/>
    </row>
    <row r="79" spans="3:43" x14ac:dyDescent="0.3">
      <c r="C79" s="95">
        <v>44717</v>
      </c>
      <c r="D79" s="96">
        <v>3755.65</v>
      </c>
      <c r="E79" s="97">
        <v>-1.6899999999999998E-2</v>
      </c>
      <c r="G79" s="93">
        <v>16201.8</v>
      </c>
      <c r="H79" s="94">
        <v>-2.3099999999999999E-2</v>
      </c>
      <c r="J79" s="57" t="s">
        <v>171</v>
      </c>
      <c r="K79" s="57">
        <v>0.51030042539003306</v>
      </c>
      <c r="V79" s="92">
        <v>44717</v>
      </c>
      <c r="W79" s="96">
        <v>2191.1799999999998</v>
      </c>
      <c r="X79" s="94">
        <v>-4.02E-2</v>
      </c>
      <c r="Z79" s="93">
        <v>16201.8</v>
      </c>
      <c r="AA79" s="94">
        <v>-2.3099999999999999E-2</v>
      </c>
      <c r="AL79" s="95">
        <v>44878</v>
      </c>
      <c r="AM79" s="96">
        <v>67.150000000000006</v>
      </c>
      <c r="AN79" s="97">
        <v>-7.7600000000000002E-2</v>
      </c>
      <c r="AP79" s="94">
        <v>-2.3E-3</v>
      </c>
      <c r="AQ79" s="101"/>
    </row>
    <row r="80" spans="3:43" x14ac:dyDescent="0.3">
      <c r="C80" s="92">
        <v>44724</v>
      </c>
      <c r="D80" s="93">
        <v>3460.55</v>
      </c>
      <c r="E80" s="94">
        <v>-7.8600000000000003E-2</v>
      </c>
      <c r="G80" s="96">
        <v>15293.5</v>
      </c>
      <c r="H80" s="97">
        <v>-5.6099999999999997E-2</v>
      </c>
      <c r="J80" s="57" t="s">
        <v>172</v>
      </c>
      <c r="K80" s="57">
        <v>0.26040652415324866</v>
      </c>
      <c r="V80" s="95">
        <v>44724</v>
      </c>
      <c r="W80" s="96">
        <v>2102.08</v>
      </c>
      <c r="X80" s="97">
        <v>-4.07E-2</v>
      </c>
      <c r="Z80" s="96">
        <v>15293.5</v>
      </c>
      <c r="AA80" s="97">
        <v>-5.6099999999999997E-2</v>
      </c>
      <c r="AL80" s="92">
        <v>44885</v>
      </c>
      <c r="AM80" s="96">
        <v>64</v>
      </c>
      <c r="AN80" s="94">
        <v>-4.6899999999999997E-2</v>
      </c>
      <c r="AP80" s="94">
        <v>1.12E-2</v>
      </c>
      <c r="AQ80" s="101"/>
    </row>
    <row r="81" spans="3:43" x14ac:dyDescent="0.3">
      <c r="C81" s="95">
        <v>44731</v>
      </c>
      <c r="D81" s="96">
        <v>3412</v>
      </c>
      <c r="E81" s="97">
        <v>-1.4E-2</v>
      </c>
      <c r="G81" s="93">
        <v>15699.25</v>
      </c>
      <c r="H81" s="94">
        <v>2.6499999999999999E-2</v>
      </c>
      <c r="J81" s="57" t="s">
        <v>173</v>
      </c>
      <c r="K81" s="57">
        <v>0.25315560772337853</v>
      </c>
      <c r="V81" s="92">
        <v>44731</v>
      </c>
      <c r="W81" s="96">
        <v>2294.7600000000002</v>
      </c>
      <c r="X81" s="94">
        <v>9.1700000000000004E-2</v>
      </c>
      <c r="Z81" s="93">
        <v>15699.25</v>
      </c>
      <c r="AA81" s="94">
        <v>2.6499999999999999E-2</v>
      </c>
      <c r="AL81" s="95">
        <v>44892</v>
      </c>
      <c r="AM81" s="96">
        <v>68.55</v>
      </c>
      <c r="AN81" s="97">
        <v>7.1099999999999997E-2</v>
      </c>
      <c r="AP81" s="97">
        <v>9.9000000000000008E-3</v>
      </c>
      <c r="AQ81" s="101"/>
    </row>
    <row r="82" spans="3:43" x14ac:dyDescent="0.3">
      <c r="C82" s="92">
        <v>44738</v>
      </c>
      <c r="D82" s="93">
        <v>3388.75</v>
      </c>
      <c r="E82" s="94">
        <v>-6.7999999999999996E-3</v>
      </c>
      <c r="G82" s="93">
        <v>15752.05</v>
      </c>
      <c r="H82" s="94">
        <v>3.3999999999999998E-3</v>
      </c>
      <c r="J82" s="57" t="s">
        <v>174</v>
      </c>
      <c r="K82" s="57">
        <v>4.2332412464736749E-2</v>
      </c>
      <c r="V82" s="95">
        <v>44738</v>
      </c>
      <c r="W82" s="96">
        <v>2273.3000000000002</v>
      </c>
      <c r="X82" s="97">
        <v>-9.4000000000000004E-3</v>
      </c>
      <c r="Z82" s="93">
        <v>15752.05</v>
      </c>
      <c r="AA82" s="94">
        <v>3.3999999999999998E-3</v>
      </c>
      <c r="AL82" s="92">
        <v>44899</v>
      </c>
      <c r="AM82" s="96">
        <v>64.150000000000006</v>
      </c>
      <c r="AN82" s="94">
        <v>-6.4199999999999993E-2</v>
      </c>
      <c r="AP82" s="94">
        <v>-1.0699999999999999E-2</v>
      </c>
      <c r="AQ82" s="101"/>
    </row>
    <row r="83" spans="3:43" ht="15" thickBot="1" x14ac:dyDescent="0.35">
      <c r="C83" s="95">
        <v>44745</v>
      </c>
      <c r="D83" s="96">
        <v>3941.7</v>
      </c>
      <c r="E83" s="97">
        <v>0.16320000000000001</v>
      </c>
      <c r="G83" s="96">
        <v>16220.6</v>
      </c>
      <c r="H83" s="97">
        <v>2.9700000000000001E-2</v>
      </c>
      <c r="J83" s="58" t="s">
        <v>175</v>
      </c>
      <c r="K83" s="58">
        <v>104</v>
      </c>
      <c r="V83" s="92">
        <v>44745</v>
      </c>
      <c r="W83" s="96">
        <v>2486.9499999999998</v>
      </c>
      <c r="X83" s="94">
        <v>9.4E-2</v>
      </c>
      <c r="Z83" s="96">
        <v>16220.6</v>
      </c>
      <c r="AA83" s="97">
        <v>2.9700000000000001E-2</v>
      </c>
      <c r="AL83" s="95">
        <v>44906</v>
      </c>
      <c r="AM83" s="96">
        <v>62.15</v>
      </c>
      <c r="AN83" s="97">
        <v>-3.1199999999999999E-2</v>
      </c>
      <c r="AP83" s="97">
        <v>-1.23E-2</v>
      </c>
      <c r="AQ83" s="101"/>
    </row>
    <row r="84" spans="3:43" x14ac:dyDescent="0.3">
      <c r="C84" s="92">
        <v>44752</v>
      </c>
      <c r="D84" s="93">
        <v>3926.8</v>
      </c>
      <c r="E84" s="94">
        <v>-3.8E-3</v>
      </c>
      <c r="G84" s="93">
        <v>16049.2</v>
      </c>
      <c r="H84" s="94">
        <v>-1.06E-2</v>
      </c>
      <c r="V84" s="92">
        <v>44752</v>
      </c>
      <c r="W84" s="96">
        <v>2558.31</v>
      </c>
      <c r="X84" s="94">
        <v>2.87E-2</v>
      </c>
      <c r="Z84" s="93">
        <v>16049.2</v>
      </c>
      <c r="AA84" s="94">
        <v>-1.06E-2</v>
      </c>
      <c r="AL84" s="92">
        <v>44913</v>
      </c>
      <c r="AM84" s="96">
        <v>53.65</v>
      </c>
      <c r="AN84" s="94">
        <v>-0.1368</v>
      </c>
      <c r="AP84" s="94">
        <v>-2.53E-2</v>
      </c>
      <c r="AQ84" s="101"/>
    </row>
    <row r="85" spans="3:43" ht="15" thickBot="1" x14ac:dyDescent="0.35">
      <c r="C85" s="95">
        <v>44759</v>
      </c>
      <c r="D85" s="96">
        <v>3963.4</v>
      </c>
      <c r="E85" s="97">
        <v>9.2999999999999992E-3</v>
      </c>
      <c r="G85" s="96">
        <v>16719.45</v>
      </c>
      <c r="H85" s="97">
        <v>4.1799999999999997E-2</v>
      </c>
      <c r="J85" t="s">
        <v>176</v>
      </c>
      <c r="V85" s="95">
        <v>44759</v>
      </c>
      <c r="W85" s="96">
        <v>2630.13</v>
      </c>
      <c r="X85" s="97">
        <v>2.81E-2</v>
      </c>
      <c r="Z85" s="96">
        <v>16719.45</v>
      </c>
      <c r="AA85" s="97">
        <v>4.1799999999999997E-2</v>
      </c>
      <c r="AL85" s="92">
        <v>44920</v>
      </c>
      <c r="AM85" s="96">
        <v>59.3</v>
      </c>
      <c r="AN85" s="94">
        <v>0.1053</v>
      </c>
      <c r="AP85" s="97">
        <v>1.6799999999999999E-2</v>
      </c>
      <c r="AQ85" s="101"/>
    </row>
    <row r="86" spans="3:43" x14ac:dyDescent="0.3">
      <c r="C86" s="92">
        <v>44766</v>
      </c>
      <c r="D86" s="93">
        <v>4243.8500000000004</v>
      </c>
      <c r="E86" s="94">
        <v>7.0800000000000002E-2</v>
      </c>
      <c r="G86" s="93">
        <v>17158.25</v>
      </c>
      <c r="H86" s="94">
        <v>2.6200000000000001E-2</v>
      </c>
      <c r="J86" s="59"/>
      <c r="K86" s="59" t="s">
        <v>180</v>
      </c>
      <c r="L86" s="59" t="s">
        <v>181</v>
      </c>
      <c r="M86" s="59" t="s">
        <v>182</v>
      </c>
      <c r="N86" s="59" t="s">
        <v>183</v>
      </c>
      <c r="O86" s="59" t="s">
        <v>184</v>
      </c>
      <c r="V86" s="92">
        <v>44766</v>
      </c>
      <c r="W86" s="96">
        <v>2626.94</v>
      </c>
      <c r="X86" s="94">
        <v>-1.1999999999999999E-3</v>
      </c>
      <c r="Z86" s="93">
        <v>17158.25</v>
      </c>
      <c r="AA86" s="94">
        <v>2.6200000000000001E-2</v>
      </c>
      <c r="AL86" s="95">
        <v>44927</v>
      </c>
      <c r="AM86" s="96">
        <v>55.25</v>
      </c>
      <c r="AN86" s="97">
        <v>-6.83E-2</v>
      </c>
      <c r="AP86" s="94">
        <v>-1.3599999999999999E-2</v>
      </c>
      <c r="AQ86" s="101"/>
    </row>
    <row r="87" spans="3:43" x14ac:dyDescent="0.3">
      <c r="C87" s="95">
        <v>44773</v>
      </c>
      <c r="D87" s="96">
        <v>4232.25</v>
      </c>
      <c r="E87" s="97">
        <v>-2.7000000000000001E-3</v>
      </c>
      <c r="G87" s="96">
        <v>17397.5</v>
      </c>
      <c r="H87" s="97">
        <v>1.3899999999999999E-2</v>
      </c>
      <c r="J87" s="57" t="s">
        <v>177</v>
      </c>
      <c r="K87" s="57">
        <v>1</v>
      </c>
      <c r="L87" s="57">
        <v>6.4358364489832398E-2</v>
      </c>
      <c r="M87" s="57">
        <v>6.4358364489832398E-2</v>
      </c>
      <c r="N87" s="57">
        <v>35.913601635305767</v>
      </c>
      <c r="O87" s="57">
        <v>3.135021715937711E-8</v>
      </c>
      <c r="V87" s="95">
        <v>44773</v>
      </c>
      <c r="W87" s="96">
        <v>2634.91</v>
      </c>
      <c r="X87" s="97">
        <v>3.0000000000000001E-3</v>
      </c>
      <c r="Z87" s="96">
        <v>17397.5</v>
      </c>
      <c r="AA87" s="97">
        <v>1.3899999999999999E-2</v>
      </c>
      <c r="AL87" s="92">
        <v>44934</v>
      </c>
      <c r="AM87" s="96">
        <v>53.25</v>
      </c>
      <c r="AN87" s="94">
        <v>-3.6200000000000003E-2</v>
      </c>
      <c r="AP87" s="94">
        <v>5.4000000000000003E-3</v>
      </c>
      <c r="AQ87" s="101"/>
    </row>
    <row r="88" spans="3:43" x14ac:dyDescent="0.3">
      <c r="C88" s="92">
        <v>44780</v>
      </c>
      <c r="D88" s="93">
        <v>4336.7</v>
      </c>
      <c r="E88" s="94">
        <v>2.47E-2</v>
      </c>
      <c r="G88" s="93">
        <v>17698.150000000001</v>
      </c>
      <c r="H88" s="94">
        <v>1.7299999999999999E-2</v>
      </c>
      <c r="J88" s="57" t="s">
        <v>178</v>
      </c>
      <c r="K88" s="57">
        <v>102</v>
      </c>
      <c r="L88" s="57">
        <v>0.18278738079862911</v>
      </c>
      <c r="M88" s="57">
        <v>1.792033145084599E-3</v>
      </c>
      <c r="N88" s="57"/>
      <c r="O88" s="57"/>
      <c r="V88" s="92">
        <v>44780</v>
      </c>
      <c r="W88" s="96">
        <v>2584.66</v>
      </c>
      <c r="X88" s="94">
        <v>-1.9099999999999999E-2</v>
      </c>
      <c r="Z88" s="93">
        <v>17698.150000000001</v>
      </c>
      <c r="AA88" s="94">
        <v>1.7299999999999999E-2</v>
      </c>
      <c r="AL88" s="95">
        <v>44941</v>
      </c>
      <c r="AM88" s="96">
        <v>51.45</v>
      </c>
      <c r="AN88" s="97">
        <v>-3.3799999999999997E-2</v>
      </c>
      <c r="AP88" s="97">
        <v>4.0000000000000001E-3</v>
      </c>
      <c r="AQ88" s="101"/>
    </row>
    <row r="89" spans="3:43" ht="15" thickBot="1" x14ac:dyDescent="0.35">
      <c r="C89" s="95">
        <v>44787</v>
      </c>
      <c r="D89" s="96">
        <v>4382</v>
      </c>
      <c r="E89" s="97">
        <v>1.04E-2</v>
      </c>
      <c r="G89" s="93">
        <v>17758.45</v>
      </c>
      <c r="H89" s="94">
        <v>3.3999999999999998E-3</v>
      </c>
      <c r="J89" s="58" t="s">
        <v>13</v>
      </c>
      <c r="K89" s="58">
        <v>103</v>
      </c>
      <c r="L89" s="58">
        <v>0.2471457452884615</v>
      </c>
      <c r="M89" s="58"/>
      <c r="N89" s="58"/>
      <c r="O89" s="58"/>
      <c r="V89" s="95">
        <v>44787</v>
      </c>
      <c r="W89" s="96">
        <v>2624.1</v>
      </c>
      <c r="X89" s="97">
        <v>1.5299999999999999E-2</v>
      </c>
      <c r="Z89" s="93">
        <v>17758.45</v>
      </c>
      <c r="AA89" s="94">
        <v>3.3999999999999998E-3</v>
      </c>
      <c r="AL89" s="92">
        <v>44948</v>
      </c>
      <c r="AM89" s="96">
        <v>46.95</v>
      </c>
      <c r="AN89" s="94">
        <v>-8.7499999999999994E-2</v>
      </c>
      <c r="AP89" s="94">
        <v>-2.35E-2</v>
      </c>
      <c r="AQ89" s="101"/>
    </row>
    <row r="90" spans="3:43" ht="15" thickBot="1" x14ac:dyDescent="0.35">
      <c r="C90" s="92">
        <v>44794</v>
      </c>
      <c r="D90" s="93">
        <v>4409.6499999999996</v>
      </c>
      <c r="E90" s="94">
        <v>6.3E-3</v>
      </c>
      <c r="G90" s="96">
        <v>17558.900000000001</v>
      </c>
      <c r="H90" s="97">
        <v>-1.12E-2</v>
      </c>
      <c r="V90" s="92">
        <v>44794</v>
      </c>
      <c r="W90" s="96">
        <v>2561.35</v>
      </c>
      <c r="X90" s="94">
        <v>-2.3900000000000001E-2</v>
      </c>
      <c r="Z90" s="96">
        <v>17558.900000000001</v>
      </c>
      <c r="AA90" s="97">
        <v>-1.12E-2</v>
      </c>
      <c r="AL90" s="95">
        <v>44955</v>
      </c>
      <c r="AM90" s="96">
        <v>48.75</v>
      </c>
      <c r="AN90" s="97">
        <v>3.8300000000000001E-2</v>
      </c>
      <c r="AP90" s="97">
        <v>1.4200000000000001E-2</v>
      </c>
      <c r="AQ90" s="101"/>
    </row>
    <row r="91" spans="3:43" x14ac:dyDescent="0.3">
      <c r="C91" s="95">
        <v>44801</v>
      </c>
      <c r="D91" s="96">
        <v>4576.8</v>
      </c>
      <c r="E91" s="97">
        <v>3.7900000000000003E-2</v>
      </c>
      <c r="G91" s="93">
        <v>17539.45</v>
      </c>
      <c r="H91" s="94">
        <v>-1.1000000000000001E-3</v>
      </c>
      <c r="J91" s="59"/>
      <c r="K91" s="59" t="s">
        <v>185</v>
      </c>
      <c r="L91" s="59" t="s">
        <v>174</v>
      </c>
      <c r="M91" s="59" t="s">
        <v>186</v>
      </c>
      <c r="N91" s="59" t="s">
        <v>187</v>
      </c>
      <c r="O91" s="59" t="s">
        <v>188</v>
      </c>
      <c r="P91" s="59" t="s">
        <v>189</v>
      </c>
      <c r="Q91" s="59" t="s">
        <v>190</v>
      </c>
      <c r="R91" s="59" t="s">
        <v>191</v>
      </c>
      <c r="S91" s="115"/>
      <c r="T91" s="115"/>
      <c r="U91" s="115"/>
      <c r="V91" s="95">
        <v>44801</v>
      </c>
      <c r="W91" s="96">
        <v>2593.27</v>
      </c>
      <c r="X91" s="97">
        <v>1.2500000000000001E-2</v>
      </c>
      <c r="Z91" s="93">
        <v>17539.45</v>
      </c>
      <c r="AA91" s="94">
        <v>-1.1000000000000001E-3</v>
      </c>
      <c r="AL91" s="92">
        <v>44962</v>
      </c>
      <c r="AM91" s="96">
        <v>53.3</v>
      </c>
      <c r="AN91" s="94">
        <v>9.3299999999999994E-2</v>
      </c>
      <c r="AP91" s="94">
        <v>1E-4</v>
      </c>
      <c r="AQ91" s="101"/>
    </row>
    <row r="92" spans="3:43" x14ac:dyDescent="0.3">
      <c r="C92" s="92">
        <v>44808</v>
      </c>
      <c r="D92" s="93">
        <v>4386.1000000000004</v>
      </c>
      <c r="E92" s="94">
        <v>-4.1700000000000001E-2</v>
      </c>
      <c r="G92" s="96">
        <v>17833.349999999999</v>
      </c>
      <c r="H92" s="97">
        <v>1.6799999999999999E-2</v>
      </c>
      <c r="J92" s="57" t="s">
        <v>179</v>
      </c>
      <c r="K92" s="57">
        <v>2.4348183770848486E-4</v>
      </c>
      <c r="L92" s="57">
        <v>4.1707077210944446E-3</v>
      </c>
      <c r="M92" s="57">
        <v>5.8379021976776704E-2</v>
      </c>
      <c r="N92" s="57">
        <v>0.95356094215937648</v>
      </c>
      <c r="O92" s="57">
        <v>-8.0290971519339453E-3</v>
      </c>
      <c r="P92" s="57">
        <v>8.5160608273509141E-3</v>
      </c>
      <c r="Q92" s="57">
        <v>-8.0290971519339453E-3</v>
      </c>
      <c r="R92" s="57">
        <v>8.5160608273509141E-3</v>
      </c>
      <c r="S92" s="57"/>
      <c r="T92" s="57"/>
      <c r="U92" s="57"/>
      <c r="V92" s="92">
        <v>44808</v>
      </c>
      <c r="W92" s="96">
        <v>2578.4299999999998</v>
      </c>
      <c r="X92" s="94">
        <v>-5.7000000000000002E-3</v>
      </c>
      <c r="Z92" s="96">
        <v>17833.349999999999</v>
      </c>
      <c r="AA92" s="97">
        <v>1.6799999999999999E-2</v>
      </c>
      <c r="AL92" s="95">
        <v>44969</v>
      </c>
      <c r="AM92" s="96">
        <v>51.8</v>
      </c>
      <c r="AN92" s="97">
        <v>-2.81E-2</v>
      </c>
      <c r="AP92" s="97">
        <v>4.8999999999999998E-3</v>
      </c>
      <c r="AQ92" s="101"/>
    </row>
    <row r="93" spans="3:43" ht="15" thickBot="1" x14ac:dyDescent="0.35">
      <c r="C93" s="95">
        <v>44815</v>
      </c>
      <c r="D93" s="96">
        <v>4327.55</v>
      </c>
      <c r="E93" s="97">
        <v>-1.3299999999999999E-2</v>
      </c>
      <c r="G93" s="93">
        <v>17530.849999999999</v>
      </c>
      <c r="H93" s="94">
        <v>-1.7000000000000001E-2</v>
      </c>
      <c r="J93" s="58" t="s">
        <v>236</v>
      </c>
      <c r="K93" s="58">
        <v>1.229536269518857</v>
      </c>
      <c r="L93" s="58">
        <v>0.20516905768943669</v>
      </c>
      <c r="M93" s="58">
        <v>5.9927958112475199</v>
      </c>
      <c r="N93" s="58">
        <v>3.1350217159376309E-8</v>
      </c>
      <c r="O93" s="58">
        <v>0.82258441638804514</v>
      </c>
      <c r="P93" s="58">
        <v>1.6364881226496688</v>
      </c>
      <c r="Q93" s="58">
        <v>0.82258441638804514</v>
      </c>
      <c r="R93" s="58">
        <v>1.6364881226496688</v>
      </c>
      <c r="S93" s="57"/>
      <c r="T93" s="57"/>
      <c r="U93" s="57"/>
      <c r="V93" s="92">
        <v>44815</v>
      </c>
      <c r="W93" s="96">
        <v>2518.12</v>
      </c>
      <c r="X93" s="94">
        <v>-2.3400000000000001E-2</v>
      </c>
      <c r="Z93" s="93">
        <v>17530.849999999999</v>
      </c>
      <c r="AA93" s="94">
        <v>-1.7000000000000001E-2</v>
      </c>
      <c r="AL93" s="92">
        <v>44976</v>
      </c>
      <c r="AM93" s="96">
        <v>54.45</v>
      </c>
      <c r="AN93" s="94">
        <v>5.1200000000000002E-2</v>
      </c>
      <c r="AP93" s="94">
        <v>-2.6700000000000002E-2</v>
      </c>
      <c r="AQ93" s="101"/>
    </row>
    <row r="94" spans="3:43" x14ac:dyDescent="0.3">
      <c r="C94" s="92">
        <v>44822</v>
      </c>
      <c r="D94" s="93">
        <v>4367</v>
      </c>
      <c r="E94" s="94">
        <v>9.1000000000000004E-3</v>
      </c>
      <c r="G94" s="96">
        <v>17327.349999999999</v>
      </c>
      <c r="H94" s="97">
        <v>-1.1599999999999999E-2</v>
      </c>
      <c r="V94" s="95">
        <v>44822</v>
      </c>
      <c r="W94" s="96">
        <v>2671.41</v>
      </c>
      <c r="X94" s="97">
        <v>6.0900000000000003E-2</v>
      </c>
      <c r="Z94" s="96">
        <v>17327.349999999999</v>
      </c>
      <c r="AA94" s="97">
        <v>-1.1599999999999999E-2</v>
      </c>
    </row>
    <row r="95" spans="3:43" x14ac:dyDescent="0.3">
      <c r="C95" s="95">
        <v>44829</v>
      </c>
      <c r="D95" s="96">
        <v>4386.55</v>
      </c>
      <c r="E95" s="97">
        <v>4.4999999999999997E-3</v>
      </c>
      <c r="G95" s="93">
        <v>17094.349999999999</v>
      </c>
      <c r="H95" s="94">
        <v>-1.34E-2</v>
      </c>
      <c r="V95" s="92">
        <v>44829</v>
      </c>
      <c r="W95" s="96">
        <v>2685.76</v>
      </c>
      <c r="X95" s="94">
        <v>5.4000000000000003E-3</v>
      </c>
      <c r="Z95" s="93">
        <v>17094.349999999999</v>
      </c>
      <c r="AA95" s="94">
        <v>-1.34E-2</v>
      </c>
    </row>
    <row r="96" spans="3:43" x14ac:dyDescent="0.3">
      <c r="C96" s="92">
        <v>44836</v>
      </c>
      <c r="D96" s="93">
        <v>4471.45</v>
      </c>
      <c r="E96" s="94">
        <v>1.9400000000000001E-2</v>
      </c>
      <c r="G96" s="93">
        <v>17314.650000000001</v>
      </c>
      <c r="H96" s="94">
        <v>1.29E-2</v>
      </c>
      <c r="V96" s="95">
        <v>44836</v>
      </c>
      <c r="W96" s="96">
        <v>2589.39</v>
      </c>
      <c r="X96" s="97">
        <v>-3.5900000000000001E-2</v>
      </c>
      <c r="Z96" s="93">
        <v>17314.650000000001</v>
      </c>
      <c r="AA96" s="94">
        <v>1.29E-2</v>
      </c>
    </row>
    <row r="97" spans="3:27" x14ac:dyDescent="0.3">
      <c r="C97" s="95">
        <v>44843</v>
      </c>
      <c r="D97" s="96">
        <v>4306.1499999999996</v>
      </c>
      <c r="E97" s="97">
        <v>-3.6999999999999998E-2</v>
      </c>
      <c r="G97" s="96">
        <v>17185.7</v>
      </c>
      <c r="H97" s="97">
        <v>-7.4000000000000003E-3</v>
      </c>
      <c r="V97" s="92">
        <v>44843</v>
      </c>
      <c r="W97" s="96">
        <v>2565.58</v>
      </c>
      <c r="X97" s="94">
        <v>-9.1999999999999998E-3</v>
      </c>
      <c r="Z97" s="96">
        <v>17185.7</v>
      </c>
      <c r="AA97" s="97">
        <v>-7.4000000000000003E-3</v>
      </c>
    </row>
    <row r="98" spans="3:27" x14ac:dyDescent="0.3">
      <c r="C98" s="92">
        <v>44850</v>
      </c>
      <c r="D98" s="93">
        <v>4215.55</v>
      </c>
      <c r="E98" s="94">
        <v>-2.1000000000000001E-2</v>
      </c>
      <c r="G98" s="93">
        <v>17576.3</v>
      </c>
      <c r="H98" s="94">
        <v>2.2700000000000001E-2</v>
      </c>
      <c r="V98" s="95">
        <v>44850</v>
      </c>
      <c r="W98" s="96">
        <v>2643.38</v>
      </c>
      <c r="X98" s="97">
        <v>3.0300000000000001E-2</v>
      </c>
      <c r="Z98" s="93">
        <v>17576.3</v>
      </c>
      <c r="AA98" s="94">
        <v>2.2700000000000001E-2</v>
      </c>
    </row>
    <row r="99" spans="3:27" x14ac:dyDescent="0.3">
      <c r="C99" s="95">
        <v>44857</v>
      </c>
      <c r="D99" s="96">
        <v>4307.3500000000004</v>
      </c>
      <c r="E99" s="97">
        <v>2.18E-2</v>
      </c>
      <c r="G99" s="96">
        <v>17786.8</v>
      </c>
      <c r="H99" s="97">
        <v>1.2E-2</v>
      </c>
      <c r="V99" s="92">
        <v>44857</v>
      </c>
      <c r="W99" s="96">
        <v>2514.2399999999998</v>
      </c>
      <c r="X99" s="94">
        <v>-4.8899999999999999E-2</v>
      </c>
      <c r="Z99" s="96">
        <v>17786.8</v>
      </c>
      <c r="AA99" s="97">
        <v>1.2E-2</v>
      </c>
    </row>
    <row r="100" spans="3:27" x14ac:dyDescent="0.3">
      <c r="C100" s="92">
        <v>44864</v>
      </c>
      <c r="D100" s="93">
        <v>4167.3500000000004</v>
      </c>
      <c r="E100" s="94">
        <v>-3.2500000000000001E-2</v>
      </c>
      <c r="G100" s="93">
        <v>18117.150000000001</v>
      </c>
      <c r="H100" s="94">
        <v>1.8599999999999998E-2</v>
      </c>
      <c r="V100" s="95">
        <v>44864</v>
      </c>
      <c r="W100" s="96">
        <v>2510.35</v>
      </c>
      <c r="X100" s="97">
        <v>-1.5E-3</v>
      </c>
      <c r="Z100" s="93">
        <v>18117.150000000001</v>
      </c>
      <c r="AA100" s="94">
        <v>1.8599999999999998E-2</v>
      </c>
    </row>
    <row r="101" spans="3:27" x14ac:dyDescent="0.3">
      <c r="C101" s="95">
        <v>44871</v>
      </c>
      <c r="D101" s="96">
        <v>4128.3500000000004</v>
      </c>
      <c r="E101" s="97">
        <v>-9.4000000000000004E-3</v>
      </c>
      <c r="G101" s="96">
        <v>18349.7</v>
      </c>
      <c r="H101" s="97">
        <v>1.2800000000000001E-2</v>
      </c>
      <c r="V101" s="92">
        <v>44871</v>
      </c>
      <c r="W101" s="96">
        <v>2493.12</v>
      </c>
      <c r="X101" s="94">
        <v>-6.8999999999999999E-3</v>
      </c>
      <c r="Z101" s="96">
        <v>18349.7</v>
      </c>
      <c r="AA101" s="97">
        <v>1.2800000000000001E-2</v>
      </c>
    </row>
    <row r="102" spans="3:27" x14ac:dyDescent="0.3">
      <c r="C102" s="92">
        <v>44878</v>
      </c>
      <c r="D102" s="93">
        <v>3910.6</v>
      </c>
      <c r="E102" s="94">
        <v>-5.2699999999999997E-2</v>
      </c>
      <c r="G102" s="93">
        <v>18307.650000000001</v>
      </c>
      <c r="H102" s="94">
        <v>-2.3E-3</v>
      </c>
      <c r="V102" s="92">
        <v>44878</v>
      </c>
      <c r="W102" s="96">
        <v>2473.85</v>
      </c>
      <c r="X102" s="94">
        <v>-7.7000000000000002E-3</v>
      </c>
      <c r="Z102" s="93">
        <v>18307.650000000001</v>
      </c>
      <c r="AA102" s="94">
        <v>-2.3E-3</v>
      </c>
    </row>
    <row r="103" spans="3:27" x14ac:dyDescent="0.3">
      <c r="C103" s="95">
        <v>44885</v>
      </c>
      <c r="D103" s="96">
        <v>3904.45</v>
      </c>
      <c r="E103" s="97">
        <v>-1.6000000000000001E-3</v>
      </c>
      <c r="G103" s="93">
        <v>18512.75</v>
      </c>
      <c r="H103" s="94">
        <v>1.12E-2</v>
      </c>
      <c r="V103" s="95">
        <v>44885</v>
      </c>
      <c r="W103" s="96">
        <v>2527.39</v>
      </c>
      <c r="X103" s="97">
        <v>2.1600000000000001E-2</v>
      </c>
      <c r="Z103" s="93">
        <v>18512.75</v>
      </c>
      <c r="AA103" s="94">
        <v>1.12E-2</v>
      </c>
    </row>
    <row r="104" spans="3:27" x14ac:dyDescent="0.3">
      <c r="C104" s="92">
        <v>44892</v>
      </c>
      <c r="D104" s="93">
        <v>4005.75</v>
      </c>
      <c r="E104" s="94">
        <v>2.5899999999999999E-2</v>
      </c>
      <c r="G104" s="96">
        <v>18696.099999999999</v>
      </c>
      <c r="H104" s="97">
        <v>9.9000000000000008E-3</v>
      </c>
      <c r="V104" s="92">
        <v>44892</v>
      </c>
      <c r="W104" s="96">
        <v>2604.73</v>
      </c>
      <c r="X104" s="94">
        <v>3.0599999999999999E-2</v>
      </c>
      <c r="Z104" s="96">
        <v>18696.099999999999</v>
      </c>
      <c r="AA104" s="97">
        <v>9.9000000000000008E-3</v>
      </c>
    </row>
    <row r="105" spans="3:27" x14ac:dyDescent="0.3">
      <c r="C105" s="95">
        <v>44899</v>
      </c>
      <c r="D105" s="96">
        <v>4002.4</v>
      </c>
      <c r="E105" s="97">
        <v>-8.0000000000000004E-4</v>
      </c>
      <c r="G105" s="93">
        <v>18496.599999999999</v>
      </c>
      <c r="H105" s="94">
        <v>-1.0699999999999999E-2</v>
      </c>
      <c r="V105" s="95">
        <v>44899</v>
      </c>
      <c r="W105" s="96">
        <v>2711.45</v>
      </c>
      <c r="X105" s="97">
        <v>4.1000000000000002E-2</v>
      </c>
      <c r="Z105" s="93">
        <v>18496.599999999999</v>
      </c>
      <c r="AA105" s="94">
        <v>-1.0699999999999999E-2</v>
      </c>
    </row>
    <row r="106" spans="3:27" x14ac:dyDescent="0.3">
      <c r="C106" s="92">
        <v>44906</v>
      </c>
      <c r="D106" s="93">
        <v>3990</v>
      </c>
      <c r="E106" s="94">
        <v>-3.0999999999999999E-3</v>
      </c>
      <c r="G106" s="96">
        <v>18269</v>
      </c>
      <c r="H106" s="97">
        <v>-1.23E-2</v>
      </c>
      <c r="V106" s="92">
        <v>44906</v>
      </c>
      <c r="W106" s="96">
        <v>2660.71</v>
      </c>
      <c r="X106" s="94">
        <v>-1.8700000000000001E-2</v>
      </c>
      <c r="Z106" s="96">
        <v>18269</v>
      </c>
      <c r="AA106" s="97">
        <v>-1.23E-2</v>
      </c>
    </row>
    <row r="107" spans="3:27" x14ac:dyDescent="0.3">
      <c r="C107" s="95">
        <v>44913</v>
      </c>
      <c r="D107" s="96">
        <v>3875.6</v>
      </c>
      <c r="E107" s="97">
        <v>-2.87E-2</v>
      </c>
      <c r="G107" s="93">
        <v>17806.8</v>
      </c>
      <c r="H107" s="94">
        <v>-2.53E-2</v>
      </c>
      <c r="V107" s="95">
        <v>44913</v>
      </c>
      <c r="W107" s="96">
        <v>2610.71</v>
      </c>
      <c r="X107" s="97">
        <v>-1.8800000000000001E-2</v>
      </c>
      <c r="Z107" s="93">
        <v>17806.8</v>
      </c>
      <c r="AA107" s="94">
        <v>-2.53E-2</v>
      </c>
    </row>
    <row r="108" spans="3:27" x14ac:dyDescent="0.3">
      <c r="C108" s="92">
        <v>44920</v>
      </c>
      <c r="D108" s="93">
        <v>4068.75</v>
      </c>
      <c r="E108" s="94">
        <v>4.9799999999999997E-2</v>
      </c>
      <c r="G108" s="96">
        <v>18105.3</v>
      </c>
      <c r="H108" s="97">
        <v>1.6799999999999999E-2</v>
      </c>
      <c r="V108" s="92">
        <v>44920</v>
      </c>
      <c r="W108" s="96">
        <v>2550.89</v>
      </c>
      <c r="X108" s="94">
        <v>-2.29E-2</v>
      </c>
      <c r="Z108" s="96">
        <v>18105.3</v>
      </c>
      <c r="AA108" s="97">
        <v>1.6799999999999999E-2</v>
      </c>
    </row>
    <row r="109" spans="3:27" x14ac:dyDescent="0.3">
      <c r="C109" s="95">
        <v>44927</v>
      </c>
      <c r="D109" s="96">
        <v>3842.5</v>
      </c>
      <c r="E109" s="97">
        <v>-5.5599999999999997E-2</v>
      </c>
      <c r="G109" s="93">
        <v>17859.45</v>
      </c>
      <c r="H109" s="94">
        <v>-1.3599999999999999E-2</v>
      </c>
      <c r="V109" s="95">
        <v>44927</v>
      </c>
      <c r="W109" s="96">
        <v>2566.23</v>
      </c>
      <c r="X109" s="97">
        <v>6.0000000000000001E-3</v>
      </c>
      <c r="Z109" s="93">
        <v>17859.45</v>
      </c>
      <c r="AA109" s="94">
        <v>-1.3599999999999999E-2</v>
      </c>
    </row>
    <row r="110" spans="3:27" x14ac:dyDescent="0.3">
      <c r="C110" s="92">
        <v>44934</v>
      </c>
      <c r="D110" s="93">
        <v>3863.7</v>
      </c>
      <c r="E110" s="94">
        <v>5.4999999999999997E-3</v>
      </c>
      <c r="G110" s="93">
        <v>17956.599999999999</v>
      </c>
      <c r="H110" s="94">
        <v>5.4000000000000003E-3</v>
      </c>
      <c r="V110" s="92">
        <v>44934</v>
      </c>
      <c r="W110" s="96">
        <v>2613.59</v>
      </c>
      <c r="X110" s="94">
        <v>1.8499999999999999E-2</v>
      </c>
      <c r="Z110" s="93">
        <v>17956.599999999999</v>
      </c>
      <c r="AA110" s="94">
        <v>5.4000000000000003E-3</v>
      </c>
    </row>
    <row r="111" spans="3:27" x14ac:dyDescent="0.3">
      <c r="C111" s="95">
        <v>44941</v>
      </c>
      <c r="D111" s="96">
        <v>3513.75</v>
      </c>
      <c r="E111" s="97">
        <v>-9.06E-2</v>
      </c>
      <c r="G111" s="96">
        <v>18027.650000000001</v>
      </c>
      <c r="H111" s="97">
        <v>4.0000000000000001E-3</v>
      </c>
      <c r="V111" s="92">
        <v>44941</v>
      </c>
      <c r="W111" s="96">
        <v>2538.64</v>
      </c>
      <c r="X111" s="94">
        <v>-2.87E-2</v>
      </c>
      <c r="Z111" s="96">
        <v>18027.650000000001</v>
      </c>
      <c r="AA111" s="97">
        <v>4.0000000000000001E-3</v>
      </c>
    </row>
    <row r="112" spans="3:27" x14ac:dyDescent="0.3">
      <c r="C112" s="92">
        <v>44948</v>
      </c>
      <c r="D112" s="93">
        <v>3562.35</v>
      </c>
      <c r="E112" s="94">
        <v>1.38E-2</v>
      </c>
      <c r="G112" s="93">
        <v>17604.349999999999</v>
      </c>
      <c r="H112" s="94">
        <v>-2.35E-2</v>
      </c>
      <c r="V112" s="95">
        <v>44948</v>
      </c>
      <c r="W112" s="96">
        <v>2601.79</v>
      </c>
      <c r="X112" s="97">
        <v>2.4899999999999999E-2</v>
      </c>
      <c r="Z112" s="93">
        <v>17604.349999999999</v>
      </c>
      <c r="AA112" s="94">
        <v>-2.35E-2</v>
      </c>
    </row>
    <row r="113" spans="3:27" x14ac:dyDescent="0.3">
      <c r="C113" s="95">
        <v>44955</v>
      </c>
      <c r="D113" s="96">
        <v>3470.35</v>
      </c>
      <c r="E113" s="97">
        <v>-2.58E-2</v>
      </c>
      <c r="G113" s="96">
        <v>17854.05</v>
      </c>
      <c r="H113" s="97">
        <v>1.4200000000000001E-2</v>
      </c>
      <c r="V113" s="92">
        <v>44955</v>
      </c>
      <c r="W113" s="96">
        <v>2638.25</v>
      </c>
      <c r="X113" s="94">
        <v>1.4E-2</v>
      </c>
      <c r="Z113" s="96">
        <v>17854.05</v>
      </c>
      <c r="AA113" s="97">
        <v>1.4200000000000001E-2</v>
      </c>
    </row>
    <row r="114" spans="3:27" x14ac:dyDescent="0.3">
      <c r="C114" s="92">
        <v>44962</v>
      </c>
      <c r="D114" s="93">
        <v>3498.85</v>
      </c>
      <c r="E114" s="94">
        <v>8.2000000000000007E-3</v>
      </c>
      <c r="G114" s="93">
        <v>17856.5</v>
      </c>
      <c r="H114" s="94">
        <v>1E-4</v>
      </c>
      <c r="V114" s="95">
        <v>44962</v>
      </c>
      <c r="W114" s="96">
        <v>2567.2800000000002</v>
      </c>
      <c r="X114" s="97">
        <v>-2.69E-2</v>
      </c>
      <c r="Z114" s="93">
        <v>17856.5</v>
      </c>
      <c r="AA114" s="94">
        <v>1E-4</v>
      </c>
    </row>
    <row r="115" spans="3:27" x14ac:dyDescent="0.3">
      <c r="C115" s="95">
        <v>44969</v>
      </c>
      <c r="D115" s="96">
        <v>3545</v>
      </c>
      <c r="E115" s="97">
        <v>1.32E-2</v>
      </c>
      <c r="G115" s="96">
        <v>17944.2</v>
      </c>
      <c r="H115" s="97">
        <v>4.8999999999999998E-3</v>
      </c>
      <c r="V115" s="92">
        <v>44969</v>
      </c>
      <c r="W115" s="96">
        <v>2505.52</v>
      </c>
      <c r="X115" s="94">
        <v>-2.41E-2</v>
      </c>
      <c r="Z115" s="96">
        <v>17944.2</v>
      </c>
      <c r="AA115" s="97">
        <v>4.8999999999999998E-3</v>
      </c>
    </row>
    <row r="116" spans="3:27" x14ac:dyDescent="0.3">
      <c r="C116" s="92">
        <v>44976</v>
      </c>
      <c r="D116" s="93">
        <v>3499.2</v>
      </c>
      <c r="E116" s="94">
        <v>-1.29E-2</v>
      </c>
      <c r="G116" s="93">
        <v>17465.8</v>
      </c>
      <c r="H116" s="94">
        <v>-2.6700000000000002E-2</v>
      </c>
      <c r="V116" s="95">
        <v>44976</v>
      </c>
      <c r="W116" s="96">
        <v>2474.35</v>
      </c>
      <c r="X116" s="97">
        <v>-1.24E-2</v>
      </c>
      <c r="Z116" s="93">
        <v>17465.8</v>
      </c>
      <c r="AA116" s="94">
        <v>-2.6700000000000002E-2</v>
      </c>
    </row>
  </sheetData>
  <autoFilter ref="AL10:AN93" xr:uid="{75F134CB-0BBF-4132-804B-A9FB459675D0}">
    <sortState xmlns:xlrd2="http://schemas.microsoft.com/office/spreadsheetml/2017/richdata2" ref="AL11:AN93">
      <sortCondition ref="AL10:AL93"/>
    </sortState>
  </autoFilter>
  <mergeCells count="8">
    <mergeCell ref="B2:B5"/>
    <mergeCell ref="T3:T6"/>
    <mergeCell ref="AD11:AE11"/>
    <mergeCell ref="AG11:AH11"/>
    <mergeCell ref="AJ3:AJ6"/>
    <mergeCell ref="C9:E9"/>
    <mergeCell ref="J11:K11"/>
    <mergeCell ref="D3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5F5E-7756-4521-B591-F9FB4C3CA68B}">
  <dimension ref="B3:Q64"/>
  <sheetViews>
    <sheetView showGridLines="0" topLeftCell="A3" workbookViewId="0">
      <pane ySplit="2" topLeftCell="A5" activePane="bottomLeft" state="frozen"/>
      <selection activeCell="A3" sqref="A3"/>
      <selection pane="bottomLeft" activeCell="Q17" sqref="Q17"/>
    </sheetView>
  </sheetViews>
  <sheetFormatPr defaultRowHeight="14.4" x14ac:dyDescent="0.3"/>
  <cols>
    <col min="1" max="1" width="1.88671875" customWidth="1"/>
    <col min="2" max="2" width="30.88671875" bestFit="1" customWidth="1"/>
    <col min="4" max="4" width="11.6640625" customWidth="1"/>
    <col min="13" max="13" width="12.88671875" customWidth="1"/>
    <col min="15" max="17" width="8.88671875" style="151"/>
  </cols>
  <sheetData>
    <row r="3" spans="2:17" x14ac:dyDescent="0.3">
      <c r="B3" s="193" t="str">
        <f>"Intrinsic Growth - "&amp;UPDATE</f>
        <v>Intrinsic Growth - Tata Motors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</row>
    <row r="4" spans="2:17" x14ac:dyDescent="0.3">
      <c r="B4" s="9" t="s">
        <v>328</v>
      </c>
      <c r="C4" s="10">
        <f>'Asian Paints Data'!C2</f>
        <v>41699</v>
      </c>
      <c r="D4" s="10">
        <f>'Asian Paints Data'!D2</f>
        <v>42064</v>
      </c>
      <c r="E4" s="10">
        <f>'Asian Paints Data'!E2</f>
        <v>42430</v>
      </c>
      <c r="F4" s="10">
        <f>'Asian Paints Data'!F2</f>
        <v>42795</v>
      </c>
      <c r="G4" s="10">
        <f>'Asian Paints Data'!G2</f>
        <v>43160</v>
      </c>
      <c r="H4" s="10">
        <f>'Asian Paints Data'!H2</f>
        <v>43525</v>
      </c>
      <c r="I4" s="10">
        <f>'Asian Paints Data'!I2</f>
        <v>43891</v>
      </c>
      <c r="J4" s="10">
        <f>'Asian Paints Data'!J2</f>
        <v>44256</v>
      </c>
      <c r="K4" s="10">
        <f>'Asian Paints Data'!K2</f>
        <v>44621</v>
      </c>
      <c r="L4" s="10">
        <f>'Asian Paints Data'!L2</f>
        <v>44986</v>
      </c>
      <c r="M4" s="10">
        <f>'Asian Paints Data'!M2</f>
        <v>45352</v>
      </c>
      <c r="N4" s="10">
        <f>'Asian Paints Data'!N2</f>
        <v>45717</v>
      </c>
      <c r="O4" s="152"/>
      <c r="P4" s="152"/>
      <c r="Q4" s="152"/>
    </row>
    <row r="6" spans="2:17" x14ac:dyDescent="0.3">
      <c r="B6" s="8" t="s">
        <v>308</v>
      </c>
    </row>
    <row r="7" spans="2:17" x14ac:dyDescent="0.3">
      <c r="B7" s="146" t="s">
        <v>299</v>
      </c>
      <c r="C7" s="158">
        <f>'Asian Paints Data'!C37</f>
        <v>2070</v>
      </c>
      <c r="D7" s="158">
        <f>'Asian Paints Data'!D37</f>
        <v>2259</v>
      </c>
      <c r="E7" s="158">
        <f>'Asian Paints Data'!E37</f>
        <v>1998</v>
      </c>
      <c r="F7" s="158">
        <f>'Asian Paints Data'!F37</f>
        <v>2627</v>
      </c>
      <c r="G7" s="158">
        <f>'Asian Paints Data'!G37</f>
        <v>2658</v>
      </c>
      <c r="H7" s="158">
        <f>'Asian Paints Data'!H37</f>
        <v>3150</v>
      </c>
      <c r="I7" s="158">
        <f>'Asian Paints Data'!I37</f>
        <v>3390</v>
      </c>
      <c r="J7" s="158">
        <f>'Asian Paints Data'!J37</f>
        <v>3799</v>
      </c>
      <c r="K7" s="158">
        <f>'Asian Paints Data'!K37</f>
        <v>6153</v>
      </c>
      <c r="L7" s="158">
        <f>'Asian Paints Data'!L37</f>
        <v>6211</v>
      </c>
      <c r="M7" s="158">
        <f>'Asian Paints Data'!M37</f>
        <v>5923</v>
      </c>
      <c r="N7" s="158">
        <f>'Asian Paints Data'!N37</f>
        <v>6719</v>
      </c>
    </row>
    <row r="8" spans="2:17" x14ac:dyDescent="0.3">
      <c r="B8" s="146" t="s">
        <v>309</v>
      </c>
      <c r="C8" s="158">
        <f>'Asian Paints Data'!C38</f>
        <v>1110</v>
      </c>
      <c r="D8" s="158">
        <f>'Asian Paints Data'!D38</f>
        <v>1182</v>
      </c>
      <c r="E8" s="158">
        <f>'Asian Paints Data'!E38</f>
        <v>1187</v>
      </c>
      <c r="F8" s="158">
        <f>'Asian Paints Data'!F38</f>
        <v>1447</v>
      </c>
      <c r="G8" s="158">
        <f>'Asian Paints Data'!G38</f>
        <v>1731</v>
      </c>
      <c r="H8" s="158">
        <f>'Asian Paints Data'!H38</f>
        <v>1907</v>
      </c>
      <c r="I8" s="158">
        <f>'Asian Paints Data'!I38</f>
        <v>1795</v>
      </c>
      <c r="J8" s="158">
        <f>'Asian Paints Data'!J38</f>
        <v>2602</v>
      </c>
      <c r="K8" s="158">
        <f>'Asian Paints Data'!K38</f>
        <v>3871</v>
      </c>
      <c r="L8" s="158">
        <f>'Asian Paints Data'!L38</f>
        <v>4637</v>
      </c>
      <c r="M8" s="158">
        <f>'Asian Paints Data'!M38</f>
        <v>4889</v>
      </c>
      <c r="N8" s="158">
        <f>'Asian Paints Data'!N38</f>
        <v>4314</v>
      </c>
    </row>
    <row r="9" spans="2:17" x14ac:dyDescent="0.3">
      <c r="B9" s="146" t="s">
        <v>310</v>
      </c>
      <c r="C9" s="146">
        <f>'Asian Paints Data'!C43</f>
        <v>7</v>
      </c>
      <c r="D9" s="146">
        <f>'Asian Paints Data'!D43</f>
        <v>8</v>
      </c>
      <c r="E9" s="146">
        <f>'Asian Paints Data'!E43</f>
        <v>9</v>
      </c>
      <c r="F9" s="146">
        <f>'Asian Paints Data'!F43</f>
        <v>14</v>
      </c>
      <c r="G9" s="146">
        <f>'Asian Paints Data'!G43</f>
        <v>13</v>
      </c>
      <c r="H9" s="146">
        <f>'Asian Paints Data'!H43</f>
        <v>16</v>
      </c>
      <c r="I9" s="146">
        <f>'Asian Paints Data'!I43</f>
        <v>12</v>
      </c>
      <c r="J9" s="146">
        <f>'Asian Paints Data'!J43</f>
        <v>11</v>
      </c>
      <c r="K9" s="146">
        <f>'Asian Paints Data'!K43</f>
        <v>8</v>
      </c>
      <c r="L9" s="146">
        <f>'Asian Paints Data'!L43</f>
        <v>12</v>
      </c>
      <c r="M9" s="146">
        <f>'Asian Paints Data'!M43</f>
        <v>17</v>
      </c>
      <c r="N9" s="146">
        <f>'Asian Paints Data'!N43</f>
        <v>22</v>
      </c>
    </row>
    <row r="10" spans="2:17" x14ac:dyDescent="0.3">
      <c r="B10" s="146" t="s">
        <v>311</v>
      </c>
      <c r="C10" s="146">
        <f>'Asian Paints Data'!C44</f>
        <v>603</v>
      </c>
      <c r="D10" s="146">
        <f>'Asian Paints Data'!D44</f>
        <v>817</v>
      </c>
      <c r="E10" s="146">
        <f>'Asian Paints Data'!E44</f>
        <v>705</v>
      </c>
      <c r="F10" s="146">
        <f>'Asian Paints Data'!F44</f>
        <v>1303</v>
      </c>
      <c r="G10" s="146">
        <f>'Asian Paints Data'!G44</f>
        <v>1678</v>
      </c>
      <c r="H10" s="146">
        <f>'Asian Paints Data'!H44</f>
        <v>1456</v>
      </c>
      <c r="I10" s="146">
        <f>'Asian Paints Data'!I44</f>
        <v>1727</v>
      </c>
      <c r="J10" s="146">
        <f>'Asian Paints Data'!J44</f>
        <v>2555</v>
      </c>
      <c r="K10" s="146">
        <f>'Asian Paints Data'!K44</f>
        <v>2869</v>
      </c>
      <c r="L10" s="146">
        <f>'Asian Paints Data'!L44</f>
        <v>3024</v>
      </c>
      <c r="M10" s="146">
        <f>'Asian Paints Data'!M44</f>
        <v>3555</v>
      </c>
      <c r="N10" s="146">
        <f>'Asian Paints Data'!N44</f>
        <v>3319</v>
      </c>
    </row>
    <row r="11" spans="2:17" ht="15" thickBot="1" x14ac:dyDescent="0.35">
      <c r="B11" s="154" t="s">
        <v>312</v>
      </c>
      <c r="C11" s="157">
        <f>SUM(C7:C10)</f>
        <v>3790</v>
      </c>
      <c r="D11" s="157">
        <f t="shared" ref="D11:N11" si="0">SUM(D7:D10)</f>
        <v>4266</v>
      </c>
      <c r="E11" s="157">
        <f t="shared" si="0"/>
        <v>3899</v>
      </c>
      <c r="F11" s="157">
        <f t="shared" si="0"/>
        <v>5391</v>
      </c>
      <c r="G11" s="157">
        <f t="shared" si="0"/>
        <v>6080</v>
      </c>
      <c r="H11" s="157">
        <f t="shared" si="0"/>
        <v>6529</v>
      </c>
      <c r="I11" s="157">
        <f t="shared" si="0"/>
        <v>6924</v>
      </c>
      <c r="J11" s="157">
        <f t="shared" si="0"/>
        <v>8967</v>
      </c>
      <c r="K11" s="157">
        <f t="shared" si="0"/>
        <v>12901</v>
      </c>
      <c r="L11" s="157">
        <f t="shared" si="0"/>
        <v>13884</v>
      </c>
      <c r="M11" s="157">
        <f t="shared" si="0"/>
        <v>14384</v>
      </c>
      <c r="N11" s="157">
        <f t="shared" si="0"/>
        <v>14374</v>
      </c>
    </row>
    <row r="12" spans="2:17" ht="15" thickTop="1" x14ac:dyDescent="0.3"/>
    <row r="13" spans="2:17" x14ac:dyDescent="0.3">
      <c r="B13" s="8" t="s">
        <v>313</v>
      </c>
    </row>
    <row r="14" spans="2:17" x14ac:dyDescent="0.3">
      <c r="B14" s="146" t="str">
        <f>'Asian Paints Data'!B13</f>
        <v>Trade Payables</v>
      </c>
      <c r="C14" s="158">
        <f>'Asian Paints Data'!C13</f>
        <v>1746</v>
      </c>
      <c r="D14" s="158">
        <f>'Asian Paints Data'!D13</f>
        <v>1549</v>
      </c>
      <c r="E14" s="158">
        <f>'Asian Paints Data'!E13</f>
        <v>1565</v>
      </c>
      <c r="F14" s="158">
        <f>'Asian Paints Data'!F13</f>
        <v>1923</v>
      </c>
      <c r="G14" s="158">
        <f>'Asian Paints Data'!G13</f>
        <v>2160</v>
      </c>
      <c r="H14" s="158">
        <f>'Asian Paints Data'!H13</f>
        <v>2394</v>
      </c>
      <c r="I14" s="158">
        <f>'Asian Paints Data'!I13</f>
        <v>2137</v>
      </c>
      <c r="J14" s="158">
        <f>'Asian Paints Data'!J13</f>
        <v>3379</v>
      </c>
      <c r="K14" s="158">
        <f>'Asian Paints Data'!K13</f>
        <v>4164</v>
      </c>
      <c r="L14" s="158">
        <f>'Asian Paints Data'!L13</f>
        <v>3635</v>
      </c>
      <c r="M14" s="158">
        <f>'Asian Paints Data'!M13</f>
        <v>3831</v>
      </c>
      <c r="N14" s="158">
        <f>'Asian Paints Data'!N13</f>
        <v>3848</v>
      </c>
    </row>
    <row r="15" spans="2:17" x14ac:dyDescent="0.3">
      <c r="B15" s="146" t="str">
        <f>'Asian Paints Data'!B14</f>
        <v>Advance from Customers</v>
      </c>
      <c r="C15" s="158">
        <f>'Asian Paints Data'!C14</f>
        <v>0</v>
      </c>
      <c r="D15" s="158">
        <f>'Asian Paints Data'!D14</f>
        <v>5</v>
      </c>
      <c r="E15" s="158">
        <f>'Asian Paints Data'!E14</f>
        <v>12</v>
      </c>
      <c r="F15" s="158">
        <f>'Asian Paints Data'!F14</f>
        <v>17</v>
      </c>
      <c r="G15" s="158">
        <f>'Asian Paints Data'!G14</f>
        <v>16</v>
      </c>
      <c r="H15" s="158">
        <f>'Asian Paints Data'!H14</f>
        <v>13</v>
      </c>
      <c r="I15" s="158">
        <f>'Asian Paints Data'!I14</f>
        <v>29</v>
      </c>
      <c r="J15" s="158">
        <f>'Asian Paints Data'!J14</f>
        <v>41</v>
      </c>
      <c r="K15" s="158">
        <f>'Asian Paints Data'!K14</f>
        <v>76</v>
      </c>
      <c r="L15" s="158">
        <f>'Asian Paints Data'!L14</f>
        <v>108</v>
      </c>
      <c r="M15" s="158">
        <f>'Asian Paints Data'!M14</f>
        <v>154</v>
      </c>
      <c r="N15" s="158">
        <f>'Asian Paints Data'!N14</f>
        <v>173</v>
      </c>
    </row>
    <row r="16" spans="2:17" x14ac:dyDescent="0.3">
      <c r="B16" s="146" t="str">
        <f>'Asian Paints Data'!B15</f>
        <v>Other liability items</v>
      </c>
      <c r="C16" s="158">
        <f>'Asian Paints Data'!C15</f>
        <v>1795</v>
      </c>
      <c r="D16" s="158">
        <f>'Asian Paints Data'!D15</f>
        <v>1937</v>
      </c>
      <c r="E16" s="158">
        <f>'Asian Paints Data'!E15</f>
        <v>1750</v>
      </c>
      <c r="F16" s="158">
        <f>'Asian Paints Data'!F15</f>
        <v>1925</v>
      </c>
      <c r="G16" s="158">
        <f>'Asian Paints Data'!G15</f>
        <v>2316</v>
      </c>
      <c r="H16" s="158">
        <f>'Asian Paints Data'!H15</f>
        <v>2690</v>
      </c>
      <c r="I16" s="158">
        <f>'Asian Paints Data'!I15</f>
        <v>2320</v>
      </c>
      <c r="J16" s="158">
        <f>'Asian Paints Data'!J15</f>
        <v>2613</v>
      </c>
      <c r="K16" s="158">
        <f>'Asian Paints Data'!K15</f>
        <v>2932</v>
      </c>
      <c r="L16" s="158">
        <f>'Asian Paints Data'!L15</f>
        <v>3657</v>
      </c>
      <c r="M16" s="158">
        <f>'Asian Paints Data'!M15</f>
        <v>4017</v>
      </c>
      <c r="N16" s="158">
        <f>'Asian Paints Data'!N15</f>
        <v>3985</v>
      </c>
    </row>
    <row r="17" spans="2:14" ht="15" thickBot="1" x14ac:dyDescent="0.35">
      <c r="B17" s="154" t="s">
        <v>315</v>
      </c>
      <c r="C17" s="157">
        <f t="shared" ref="C17:N17" si="1">SUM(C14:C16)</f>
        <v>3541</v>
      </c>
      <c r="D17" s="157">
        <f t="shared" si="1"/>
        <v>3491</v>
      </c>
      <c r="E17" s="157">
        <f t="shared" si="1"/>
        <v>3327</v>
      </c>
      <c r="F17" s="157">
        <f t="shared" si="1"/>
        <v>3865</v>
      </c>
      <c r="G17" s="157">
        <f t="shared" si="1"/>
        <v>4492</v>
      </c>
      <c r="H17" s="157">
        <f t="shared" si="1"/>
        <v>5097</v>
      </c>
      <c r="I17" s="157">
        <f t="shared" si="1"/>
        <v>4486</v>
      </c>
      <c r="J17" s="157">
        <f t="shared" si="1"/>
        <v>6033</v>
      </c>
      <c r="K17" s="157">
        <f t="shared" si="1"/>
        <v>7172</v>
      </c>
      <c r="L17" s="157">
        <f t="shared" si="1"/>
        <v>7400</v>
      </c>
      <c r="M17" s="157">
        <f t="shared" si="1"/>
        <v>8002</v>
      </c>
      <c r="N17" s="157">
        <f t="shared" si="1"/>
        <v>8006</v>
      </c>
    </row>
    <row r="18" spans="2:14" ht="15" thickTop="1" x14ac:dyDescent="0.3"/>
    <row r="19" spans="2:14" ht="15" thickBot="1" x14ac:dyDescent="0.35">
      <c r="B19" s="175" t="s">
        <v>316</v>
      </c>
      <c r="C19" s="176">
        <f>C11-C17</f>
        <v>249</v>
      </c>
      <c r="D19" s="176">
        <f t="shared" ref="D19:N19" si="2">D11-D17</f>
        <v>775</v>
      </c>
      <c r="E19" s="176">
        <f t="shared" si="2"/>
        <v>572</v>
      </c>
      <c r="F19" s="176">
        <f t="shared" si="2"/>
        <v>1526</v>
      </c>
      <c r="G19" s="176">
        <f t="shared" si="2"/>
        <v>1588</v>
      </c>
      <c r="H19" s="176">
        <f t="shared" si="2"/>
        <v>1432</v>
      </c>
      <c r="I19" s="176">
        <f t="shared" si="2"/>
        <v>2438</v>
      </c>
      <c r="J19" s="176">
        <f t="shared" si="2"/>
        <v>2934</v>
      </c>
      <c r="K19" s="176">
        <f t="shared" si="2"/>
        <v>5729</v>
      </c>
      <c r="L19" s="176">
        <f t="shared" si="2"/>
        <v>6484</v>
      </c>
      <c r="M19" s="176">
        <f t="shared" si="2"/>
        <v>6382</v>
      </c>
      <c r="N19" s="176">
        <f t="shared" si="2"/>
        <v>6368</v>
      </c>
    </row>
    <row r="20" spans="2:14" ht="15" thickTop="1" x14ac:dyDescent="0.3"/>
    <row r="21" spans="2:14" x14ac:dyDescent="0.3">
      <c r="B21" s="8" t="s">
        <v>317</v>
      </c>
    </row>
    <row r="22" spans="2:14" x14ac:dyDescent="0.3">
      <c r="B22" s="158" t="str">
        <f>'Asian Paints Data'!B20</f>
        <v>Land</v>
      </c>
      <c r="C22" s="158">
        <f>'Asian Paints Data'!C20</f>
        <v>247</v>
      </c>
      <c r="D22" s="158">
        <f>'Asian Paints Data'!D20</f>
        <v>251</v>
      </c>
      <c r="E22" s="158">
        <f>'Asian Paints Data'!E20</f>
        <v>429</v>
      </c>
      <c r="F22" s="158">
        <f>'Asian Paints Data'!F20</f>
        <v>408</v>
      </c>
      <c r="G22" s="158">
        <f>'Asian Paints Data'!G20</f>
        <v>586</v>
      </c>
      <c r="H22" s="158">
        <f>'Asian Paints Data'!H20</f>
        <v>605</v>
      </c>
      <c r="I22" s="158">
        <f>'Asian Paints Data'!I20</f>
        <v>640</v>
      </c>
      <c r="J22" s="158">
        <f>'Asian Paints Data'!J20</f>
        <v>644</v>
      </c>
      <c r="K22" s="158">
        <f>'Asian Paints Data'!K20</f>
        <v>644</v>
      </c>
      <c r="L22" s="158">
        <f>'Asian Paints Data'!L20</f>
        <v>804</v>
      </c>
      <c r="M22" s="158">
        <f>'Asian Paints Data'!M20</f>
        <v>1126</v>
      </c>
      <c r="N22" s="158">
        <f>'Asian Paints Data'!N20</f>
        <v>1050</v>
      </c>
    </row>
    <row r="23" spans="2:14" x14ac:dyDescent="0.3">
      <c r="B23" s="158" t="str">
        <f>'Asian Paints Data'!B21</f>
        <v>Building</v>
      </c>
      <c r="C23" s="158">
        <f>'Asian Paints Data'!C21</f>
        <v>931</v>
      </c>
      <c r="D23" s="158">
        <f>'Asian Paints Data'!D21</f>
        <v>962</v>
      </c>
      <c r="E23" s="158">
        <f>'Asian Paints Data'!E21</f>
        <v>923</v>
      </c>
      <c r="F23" s="158">
        <f>'Asian Paints Data'!F21</f>
        <v>931</v>
      </c>
      <c r="G23" s="158">
        <f>'Asian Paints Data'!G21</f>
        <v>957</v>
      </c>
      <c r="H23" s="158">
        <f>'Asian Paints Data'!H21</f>
        <v>2402</v>
      </c>
      <c r="I23" s="158">
        <f>'Asian Paints Data'!I21</f>
        <v>2257</v>
      </c>
      <c r="J23" s="158">
        <f>'Asian Paints Data'!J21</f>
        <v>2249</v>
      </c>
      <c r="K23" s="158">
        <f>'Asian Paints Data'!K21</f>
        <v>2325</v>
      </c>
      <c r="L23" s="158">
        <f>'Asian Paints Data'!L21</f>
        <v>2883</v>
      </c>
      <c r="M23" s="158">
        <f>'Asian Paints Data'!M21</f>
        <v>3390</v>
      </c>
      <c r="N23" s="158">
        <f>'Asian Paints Data'!N21</f>
        <v>4136</v>
      </c>
    </row>
    <row r="24" spans="2:14" x14ac:dyDescent="0.3">
      <c r="B24" s="158" t="str">
        <f>'Asian Paints Data'!B22</f>
        <v>Plant Machinery</v>
      </c>
      <c r="C24" s="158">
        <f>'Asian Paints Data'!C22</f>
        <v>2054</v>
      </c>
      <c r="D24" s="158">
        <f>'Asian Paints Data'!D22</f>
        <v>2132</v>
      </c>
      <c r="E24" s="158">
        <f>'Asian Paints Data'!E22</f>
        <v>1793</v>
      </c>
      <c r="F24" s="158">
        <f>'Asian Paints Data'!F22</f>
        <v>1980</v>
      </c>
      <c r="G24" s="158">
        <f>'Asian Paints Data'!G22</f>
        <v>2157</v>
      </c>
      <c r="H24" s="158">
        <f>'Asian Paints Data'!H22</f>
        <v>4006</v>
      </c>
      <c r="I24" s="158">
        <f>'Asian Paints Data'!I22</f>
        <v>4208</v>
      </c>
      <c r="J24" s="158">
        <f>'Asian Paints Data'!J22</f>
        <v>4340</v>
      </c>
      <c r="K24" s="158">
        <f>'Asian Paints Data'!K22</f>
        <v>4531</v>
      </c>
      <c r="L24" s="158">
        <f>'Asian Paints Data'!L22</f>
        <v>4825</v>
      </c>
      <c r="M24" s="158">
        <f>'Asian Paints Data'!M22</f>
        <v>5422</v>
      </c>
      <c r="N24" s="158">
        <f>'Asian Paints Data'!N22</f>
        <v>7576</v>
      </c>
    </row>
    <row r="25" spans="2:14" x14ac:dyDescent="0.3">
      <c r="B25" s="158" t="str">
        <f>'Asian Paints Data'!B23</f>
        <v>Equipments</v>
      </c>
      <c r="C25" s="158">
        <f>'Asian Paints Data'!C23</f>
        <v>155</v>
      </c>
      <c r="D25" s="158">
        <f>'Asian Paints Data'!D23</f>
        <v>171</v>
      </c>
      <c r="E25" s="158">
        <f>'Asian Paints Data'!E23</f>
        <v>97</v>
      </c>
      <c r="F25" s="158">
        <f>'Asian Paints Data'!F23</f>
        <v>119</v>
      </c>
      <c r="G25" s="158">
        <f>'Asian Paints Data'!G23</f>
        <v>200</v>
      </c>
      <c r="H25" s="158">
        <f>'Asian Paints Data'!H23</f>
        <v>221</v>
      </c>
      <c r="I25" s="158">
        <f>'Asian Paints Data'!I23</f>
        <v>241</v>
      </c>
      <c r="J25" s="158">
        <f>'Asian Paints Data'!J23</f>
        <v>243</v>
      </c>
      <c r="K25" s="158">
        <f>'Asian Paints Data'!K23</f>
        <v>253</v>
      </c>
      <c r="L25" s="158">
        <f>'Asian Paints Data'!L23</f>
        <v>270</v>
      </c>
      <c r="M25" s="158">
        <f>'Asian Paints Data'!M23</f>
        <v>298</v>
      </c>
      <c r="N25" s="158">
        <f>'Asian Paints Data'!N23</f>
        <v>325</v>
      </c>
    </row>
    <row r="26" spans="2:14" x14ac:dyDescent="0.3">
      <c r="B26" s="158" t="str">
        <f>'Asian Paints Data'!B24</f>
        <v>Furniture n fittings</v>
      </c>
      <c r="C26" s="158">
        <f>'Asian Paints Data'!C24</f>
        <v>71</v>
      </c>
      <c r="D26" s="158">
        <f>'Asian Paints Data'!D24</f>
        <v>83</v>
      </c>
      <c r="E26" s="158">
        <f>'Asian Paints Data'!E24</f>
        <v>49</v>
      </c>
      <c r="F26" s="158">
        <f>'Asian Paints Data'!F24</f>
        <v>59</v>
      </c>
      <c r="G26" s="158">
        <f>'Asian Paints Data'!G24</f>
        <v>72</v>
      </c>
      <c r="H26" s="158">
        <f>'Asian Paints Data'!H24</f>
        <v>88</v>
      </c>
      <c r="I26" s="158">
        <f>'Asian Paints Data'!I24</f>
        <v>94</v>
      </c>
      <c r="J26" s="158">
        <f>'Asian Paints Data'!J24</f>
        <v>99</v>
      </c>
      <c r="K26" s="158">
        <f>'Asian Paints Data'!K24</f>
        <v>113</v>
      </c>
      <c r="L26" s="158">
        <f>'Asian Paints Data'!L24</f>
        <v>146</v>
      </c>
      <c r="M26" s="158">
        <f>'Asian Paints Data'!M24</f>
        <v>175</v>
      </c>
      <c r="N26" s="158">
        <f>'Asian Paints Data'!N24</f>
        <v>203</v>
      </c>
    </row>
    <row r="27" spans="2:14" x14ac:dyDescent="0.3">
      <c r="B27" s="158" t="str">
        <f>'Asian Paints Data'!B25</f>
        <v>Vehicles</v>
      </c>
      <c r="C27" s="158">
        <f>'Asian Paints Data'!C25</f>
        <v>14</v>
      </c>
      <c r="D27" s="158">
        <f>'Asian Paints Data'!D25</f>
        <v>18</v>
      </c>
      <c r="E27" s="158">
        <f>'Asian Paints Data'!E25</f>
        <v>11</v>
      </c>
      <c r="F27" s="158">
        <f>'Asian Paints Data'!F25</f>
        <v>14</v>
      </c>
      <c r="G27" s="158">
        <f>'Asian Paints Data'!G25</f>
        <v>27</v>
      </c>
      <c r="H27" s="158">
        <f>'Asian Paints Data'!H25</f>
        <v>47</v>
      </c>
      <c r="I27" s="158">
        <f>'Asian Paints Data'!I25</f>
        <v>43</v>
      </c>
      <c r="J27" s="158">
        <f>'Asian Paints Data'!J25</f>
        <v>38</v>
      </c>
      <c r="K27" s="158">
        <f>'Asian Paints Data'!K25</f>
        <v>32</v>
      </c>
      <c r="L27" s="158">
        <f>'Asian Paints Data'!L25</f>
        <v>36</v>
      </c>
      <c r="M27" s="158">
        <f>'Asian Paints Data'!M25</f>
        <v>40</v>
      </c>
      <c r="N27" s="158">
        <f>'Asian Paints Data'!N25</f>
        <v>39</v>
      </c>
    </row>
    <row r="28" spans="2:14" x14ac:dyDescent="0.3">
      <c r="B28" s="158" t="str">
        <f>'Asian Paints Data'!B26</f>
        <v>Intangible Assets</v>
      </c>
      <c r="C28" s="158">
        <f>'Asian Paints Data'!C26</f>
        <v>203</v>
      </c>
      <c r="D28" s="158">
        <f>'Asian Paints Data'!D26</f>
        <v>351</v>
      </c>
      <c r="E28" s="158">
        <f>'Asian Paints Data'!E26</f>
        <v>339</v>
      </c>
      <c r="F28" s="158">
        <f>'Asian Paints Data'!F26</f>
        <v>276</v>
      </c>
      <c r="G28" s="158">
        <f>'Asian Paints Data'!G26</f>
        <v>468</v>
      </c>
      <c r="H28" s="158">
        <f>'Asian Paints Data'!H26</f>
        <v>512</v>
      </c>
      <c r="I28" s="158">
        <f>'Asian Paints Data'!I26</f>
        <v>505</v>
      </c>
      <c r="J28" s="158">
        <f>'Asian Paints Data'!J26</f>
        <v>476</v>
      </c>
      <c r="K28" s="158">
        <f>'Asian Paints Data'!K26</f>
        <v>345</v>
      </c>
      <c r="L28" s="158">
        <f>'Asian Paints Data'!L26</f>
        <v>422</v>
      </c>
      <c r="M28" s="158">
        <f>'Asian Paints Data'!M26</f>
        <v>850</v>
      </c>
      <c r="N28" s="158">
        <f>'Asian Paints Data'!N26</f>
        <v>827</v>
      </c>
    </row>
    <row r="29" spans="2:14" x14ac:dyDescent="0.3">
      <c r="B29" s="158" t="str">
        <f>'Asian Paints Data'!B27</f>
        <v>Other fixed assets</v>
      </c>
      <c r="C29" s="158">
        <f>'Asian Paints Data'!C27</f>
        <v>128</v>
      </c>
      <c r="D29" s="158">
        <f>'Asian Paints Data'!D27</f>
        <v>145</v>
      </c>
      <c r="E29" s="158">
        <f>'Asian Paints Data'!E27</f>
        <v>103</v>
      </c>
      <c r="F29" s="158">
        <f>'Asian Paints Data'!F27</f>
        <v>128</v>
      </c>
      <c r="G29" s="158">
        <f>'Asian Paints Data'!G27</f>
        <v>238</v>
      </c>
      <c r="H29" s="158">
        <f>'Asian Paints Data'!H27</f>
        <v>261</v>
      </c>
      <c r="I29" s="158">
        <f>'Asian Paints Data'!I27</f>
        <v>293</v>
      </c>
      <c r="J29" s="158">
        <f>'Asian Paints Data'!J27</f>
        <v>302</v>
      </c>
      <c r="K29" s="158">
        <f>'Asian Paints Data'!K27</f>
        <v>294</v>
      </c>
      <c r="L29" s="158">
        <f>'Asian Paints Data'!L27</f>
        <v>289</v>
      </c>
      <c r="M29" s="158">
        <f>'Asian Paints Data'!M27</f>
        <v>321</v>
      </c>
      <c r="N29" s="158">
        <f>'Asian Paints Data'!N27</f>
        <v>328</v>
      </c>
    </row>
    <row r="30" spans="2:14" x14ac:dyDescent="0.3">
      <c r="B30" s="159" t="str">
        <f>'Asian Paints Data'!B28</f>
        <v>Gross Block</v>
      </c>
      <c r="C30" s="159">
        <f>'Asian Paints Data'!C28</f>
        <v>3804</v>
      </c>
      <c r="D30" s="159">
        <f>'Asian Paints Data'!D28</f>
        <v>4112</v>
      </c>
      <c r="E30" s="159">
        <f>'Asian Paints Data'!E28</f>
        <v>3744</v>
      </c>
      <c r="F30" s="159">
        <f>'Asian Paints Data'!F28</f>
        <v>3914</v>
      </c>
      <c r="G30" s="159">
        <f>'Asian Paints Data'!G28</f>
        <v>4705</v>
      </c>
      <c r="H30" s="159">
        <f>'Asian Paints Data'!H28</f>
        <v>8141</v>
      </c>
      <c r="I30" s="159">
        <f>'Asian Paints Data'!I28</f>
        <v>8282</v>
      </c>
      <c r="J30" s="159">
        <f>'Asian Paints Data'!J28</f>
        <v>8392</v>
      </c>
      <c r="K30" s="159">
        <f>'Asian Paints Data'!K28</f>
        <v>8538</v>
      </c>
      <c r="L30" s="159">
        <f>'Asian Paints Data'!L28</f>
        <v>9676</v>
      </c>
      <c r="M30" s="159">
        <f>'Asian Paints Data'!M28</f>
        <v>11622</v>
      </c>
      <c r="N30" s="159">
        <f>'Asian Paints Data'!N28</f>
        <v>14484</v>
      </c>
    </row>
    <row r="31" spans="2:14" x14ac:dyDescent="0.3">
      <c r="B31" s="160" t="str">
        <f>'Asian Paints Data'!B29</f>
        <v>Accumulated Depreciation</v>
      </c>
      <c r="C31" s="158">
        <f>'Asian Paints Data'!C29</f>
        <v>-1242</v>
      </c>
      <c r="D31" s="158">
        <f>'Asian Paints Data'!D29</f>
        <v>-1242</v>
      </c>
      <c r="E31" s="158">
        <f>'Asian Paints Data'!E29</f>
        <v>-1242</v>
      </c>
      <c r="F31" s="158">
        <f>'Asian Paints Data'!F29</f>
        <v>-1242</v>
      </c>
      <c r="G31" s="158">
        <f>'Asian Paints Data'!G29</f>
        <v>-1242</v>
      </c>
      <c r="H31" s="158">
        <f>'Asian Paints Data'!H29</f>
        <v>-1242</v>
      </c>
      <c r="I31" s="158">
        <f>'Asian Paints Data'!I29</f>
        <v>-1242</v>
      </c>
      <c r="J31" s="158">
        <f>'Asian Paints Data'!J29</f>
        <v>-1242</v>
      </c>
      <c r="K31" s="158">
        <f>'Asian Paints Data'!K29</f>
        <v>-1242</v>
      </c>
      <c r="L31" s="158">
        <f>'Asian Paints Data'!L29</f>
        <v>-1242</v>
      </c>
      <c r="M31" s="158">
        <f>'Asian Paints Data'!M29</f>
        <v>-1242</v>
      </c>
      <c r="N31" s="158">
        <f>'Asian Paints Data'!N29</f>
        <v>-1242</v>
      </c>
    </row>
    <row r="32" spans="2:14" x14ac:dyDescent="0.3">
      <c r="B32" s="159" t="str">
        <f>'Asian Paints Data'!B30</f>
        <v>Net Block</v>
      </c>
      <c r="C32" s="159">
        <f>'Asian Paints Data'!C30</f>
        <v>2562</v>
      </c>
      <c r="D32" s="159">
        <f>'Asian Paints Data'!D30</f>
        <v>2870</v>
      </c>
      <c r="E32" s="159">
        <f>'Asian Paints Data'!E30</f>
        <v>2502</v>
      </c>
      <c r="F32" s="159">
        <f>'Asian Paints Data'!F30</f>
        <v>2672</v>
      </c>
      <c r="G32" s="159">
        <f>'Asian Paints Data'!G30</f>
        <v>3463</v>
      </c>
      <c r="H32" s="159">
        <f>'Asian Paints Data'!H30</f>
        <v>6899</v>
      </c>
      <c r="I32" s="159">
        <f>'Asian Paints Data'!I30</f>
        <v>7040</v>
      </c>
      <c r="J32" s="159">
        <f>'Asian Paints Data'!J30</f>
        <v>7150</v>
      </c>
      <c r="K32" s="159">
        <f>'Asian Paints Data'!K30</f>
        <v>7296</v>
      </c>
      <c r="L32" s="159">
        <f>'Asian Paints Data'!L30</f>
        <v>8434</v>
      </c>
      <c r="M32" s="159">
        <f>'Asian Paints Data'!M30</f>
        <v>10380</v>
      </c>
      <c r="N32" s="159">
        <f>'Asian Paints Data'!N30</f>
        <v>13242</v>
      </c>
    </row>
    <row r="33" spans="2:14" ht="15" thickBot="1" x14ac:dyDescent="0.35"/>
    <row r="34" spans="2:14" ht="15" thickTop="1" x14ac:dyDescent="0.3">
      <c r="B34" s="166" t="s">
        <v>318</v>
      </c>
      <c r="C34" s="167">
        <f>C32+C19</f>
        <v>2811</v>
      </c>
      <c r="D34" s="167">
        <f t="shared" ref="D34:N34" si="3">D32+D19</f>
        <v>3645</v>
      </c>
      <c r="E34" s="167">
        <f t="shared" si="3"/>
        <v>3074</v>
      </c>
      <c r="F34" s="167">
        <f t="shared" si="3"/>
        <v>4198</v>
      </c>
      <c r="G34" s="167">
        <f t="shared" si="3"/>
        <v>5051</v>
      </c>
      <c r="H34" s="167">
        <f t="shared" si="3"/>
        <v>8331</v>
      </c>
      <c r="I34" s="167">
        <f t="shared" si="3"/>
        <v>9478</v>
      </c>
      <c r="J34" s="167">
        <f t="shared" si="3"/>
        <v>10084</v>
      </c>
      <c r="K34" s="167">
        <f t="shared" si="3"/>
        <v>13025</v>
      </c>
      <c r="L34" s="167">
        <f t="shared" si="3"/>
        <v>14918</v>
      </c>
      <c r="M34" s="167">
        <f t="shared" si="3"/>
        <v>16762</v>
      </c>
      <c r="N34" s="167">
        <f t="shared" si="3"/>
        <v>19610</v>
      </c>
    </row>
    <row r="35" spans="2:14" x14ac:dyDescent="0.3">
      <c r="B35" t="s">
        <v>326</v>
      </c>
      <c r="C35" s="48">
        <f>'Asian Paints Data'!C117</f>
        <v>1758</v>
      </c>
      <c r="D35" s="48">
        <f>'Asian Paints Data'!D117</f>
        <v>1977</v>
      </c>
      <c r="E35" s="48">
        <f>'Asian Paints Data'!E117</f>
        <v>2449</v>
      </c>
      <c r="F35" s="48">
        <f>'Asian Paints Data'!F117</f>
        <v>2659</v>
      </c>
      <c r="G35" s="48">
        <f>'Asian Paints Data'!G117</f>
        <v>2844</v>
      </c>
      <c r="H35" s="48">
        <f>'Asian Paints Data'!H117</f>
        <v>3143</v>
      </c>
      <c r="I35" s="48">
        <f>'Asian Paints Data'!I117</f>
        <v>3377</v>
      </c>
      <c r="J35" s="48">
        <f>'Asian Paints Data'!J117</f>
        <v>4065</v>
      </c>
      <c r="K35" s="48">
        <f>'Asian Paints Data'!K117</f>
        <v>3988</v>
      </c>
      <c r="L35" s="48">
        <f>'Asian Paints Data'!L117</f>
        <v>5402</v>
      </c>
      <c r="M35" s="48">
        <f>'Asian Paints Data'!M117</f>
        <v>6732</v>
      </c>
      <c r="N35" s="48">
        <f>'Asian Paints Data'!N117</f>
        <v>4980</v>
      </c>
    </row>
    <row r="37" spans="2:14" x14ac:dyDescent="0.3">
      <c r="B37" s="8" t="s">
        <v>327</v>
      </c>
      <c r="C37" s="132">
        <f>C35/C34</f>
        <v>0.62540021344717178</v>
      </c>
      <c r="D37" s="132">
        <f t="shared" ref="D37:N37" si="4">D35/D34</f>
        <v>0.54238683127572018</v>
      </c>
      <c r="E37" s="132">
        <f t="shared" si="4"/>
        <v>0.79668184775536754</v>
      </c>
      <c r="F37" s="132">
        <f t="shared" si="4"/>
        <v>0.63339685564554549</v>
      </c>
      <c r="G37" s="132">
        <f t="shared" si="4"/>
        <v>0.56305682043159766</v>
      </c>
      <c r="H37" s="132">
        <f t="shared" si="4"/>
        <v>0.37726563437762572</v>
      </c>
      <c r="I37" s="132">
        <f t="shared" si="4"/>
        <v>0.35629879721460223</v>
      </c>
      <c r="J37" s="132">
        <f t="shared" si="4"/>
        <v>0.40311384371281239</v>
      </c>
      <c r="K37" s="132">
        <f t="shared" si="4"/>
        <v>0.30618042226487524</v>
      </c>
      <c r="L37" s="132">
        <f t="shared" si="4"/>
        <v>0.36211288376457973</v>
      </c>
      <c r="M37" s="132">
        <f t="shared" si="4"/>
        <v>0.40162271805273836</v>
      </c>
      <c r="N37" s="132">
        <f t="shared" si="4"/>
        <v>0.25395206527281999</v>
      </c>
    </row>
    <row r="39" spans="2:14" x14ac:dyDescent="0.3">
      <c r="B39" s="9" t="s">
        <v>329</v>
      </c>
    </row>
    <row r="41" spans="2:14" x14ac:dyDescent="0.3">
      <c r="B41" t="s">
        <v>332</v>
      </c>
      <c r="C41">
        <f>-SUM('Asian Paints Data'!C79:C80)</f>
        <v>235</v>
      </c>
      <c r="D41">
        <f>-SUM('Asian Paints Data'!D79:D80)</f>
        <v>438</v>
      </c>
      <c r="E41">
        <f>-SUM('Asian Paints Data'!E79:E80)</f>
        <v>802</v>
      </c>
      <c r="F41">
        <f>-SUM('Asian Paints Data'!F79:F80)</f>
        <v>667</v>
      </c>
      <c r="G41">
        <f>-SUM('Asian Paints Data'!G79:G80)</f>
        <v>1409</v>
      </c>
      <c r="H41">
        <f>-SUM('Asian Paints Data'!H79:H80)</f>
        <v>1134</v>
      </c>
      <c r="I41">
        <f>-SUM('Asian Paints Data'!I79:I80)</f>
        <v>367</v>
      </c>
      <c r="J41">
        <f>-SUM('Asian Paints Data'!J79:J80)</f>
        <v>254</v>
      </c>
      <c r="K41">
        <f>-SUM('Asian Paints Data'!K79:K80)</f>
        <v>511</v>
      </c>
      <c r="L41">
        <f>-SUM('Asian Paints Data'!L79:L80)</f>
        <v>1420</v>
      </c>
      <c r="M41">
        <f>-SUM('Asian Paints Data'!M79:M80)</f>
        <v>2491</v>
      </c>
      <c r="N41">
        <f>-SUM('Asian Paints Data'!N79:N80)</f>
        <v>1820</v>
      </c>
    </row>
    <row r="42" spans="2:14" x14ac:dyDescent="0.3">
      <c r="B42" t="s">
        <v>333</v>
      </c>
      <c r="D42" s="170">
        <f>D19-C19</f>
        <v>526</v>
      </c>
      <c r="E42" s="170">
        <f t="shared" ref="E42:N42" si="5">E19-D19</f>
        <v>-203</v>
      </c>
      <c r="F42" s="170">
        <f t="shared" si="5"/>
        <v>954</v>
      </c>
      <c r="G42" s="170">
        <f t="shared" si="5"/>
        <v>62</v>
      </c>
      <c r="H42" s="170">
        <f t="shared" si="5"/>
        <v>-156</v>
      </c>
      <c r="I42" s="170">
        <f t="shared" si="5"/>
        <v>1006</v>
      </c>
      <c r="J42" s="170">
        <f t="shared" si="5"/>
        <v>496</v>
      </c>
      <c r="K42" s="170">
        <f t="shared" si="5"/>
        <v>2795</v>
      </c>
      <c r="L42" s="170">
        <f t="shared" si="5"/>
        <v>755</v>
      </c>
      <c r="M42" s="170">
        <f t="shared" si="5"/>
        <v>-102</v>
      </c>
      <c r="N42" s="170">
        <f t="shared" si="5"/>
        <v>-14</v>
      </c>
    </row>
    <row r="44" spans="2:14" x14ac:dyDescent="0.3">
      <c r="B44" t="s">
        <v>326</v>
      </c>
      <c r="C44" s="48">
        <f>C35</f>
        <v>1758</v>
      </c>
      <c r="D44" s="48">
        <f t="shared" ref="D44:N44" si="6">D35</f>
        <v>1977</v>
      </c>
      <c r="E44" s="48">
        <f t="shared" si="6"/>
        <v>2449</v>
      </c>
      <c r="F44" s="48">
        <f t="shared" si="6"/>
        <v>2659</v>
      </c>
      <c r="G44" s="48">
        <f t="shared" si="6"/>
        <v>2844</v>
      </c>
      <c r="H44" s="48">
        <f t="shared" si="6"/>
        <v>3143</v>
      </c>
      <c r="I44" s="48">
        <f t="shared" si="6"/>
        <v>3377</v>
      </c>
      <c r="J44" s="48">
        <f t="shared" si="6"/>
        <v>4065</v>
      </c>
      <c r="K44" s="48">
        <f t="shared" si="6"/>
        <v>3988</v>
      </c>
      <c r="L44" s="48">
        <f t="shared" si="6"/>
        <v>5402</v>
      </c>
      <c r="M44" s="48">
        <f t="shared" si="6"/>
        <v>6732</v>
      </c>
      <c r="N44" s="48">
        <f t="shared" si="6"/>
        <v>4980</v>
      </c>
    </row>
    <row r="45" spans="2:14" x14ac:dyDescent="0.3">
      <c r="B45" t="s">
        <v>334</v>
      </c>
      <c r="C45" s="171">
        <f>25%</f>
        <v>0.25</v>
      </c>
      <c r="D45" s="171">
        <f>25%</f>
        <v>0.25</v>
      </c>
      <c r="E45" s="171">
        <f>25%</f>
        <v>0.25</v>
      </c>
      <c r="F45" s="171">
        <f>25%</f>
        <v>0.25</v>
      </c>
      <c r="G45" s="171">
        <f>25%</f>
        <v>0.25</v>
      </c>
      <c r="H45" s="171">
        <f>25%</f>
        <v>0.25</v>
      </c>
      <c r="I45" s="171">
        <f>25%</f>
        <v>0.25</v>
      </c>
      <c r="J45" s="171">
        <f>25%</f>
        <v>0.25</v>
      </c>
      <c r="K45" s="171">
        <f>25%</f>
        <v>0.25</v>
      </c>
      <c r="L45" s="171">
        <f>25%</f>
        <v>0.25</v>
      </c>
      <c r="M45" s="171">
        <f>25%</f>
        <v>0.25</v>
      </c>
      <c r="N45" s="171">
        <f>25%</f>
        <v>0.25</v>
      </c>
    </row>
    <row r="46" spans="2:14" x14ac:dyDescent="0.3">
      <c r="B46" t="s">
        <v>335</v>
      </c>
      <c r="C46" s="48">
        <f>C44*(1-C45)</f>
        <v>1318.5</v>
      </c>
      <c r="D46" s="48">
        <f t="shared" ref="D46:N46" si="7">D44*(1-D45)</f>
        <v>1482.75</v>
      </c>
      <c r="E46" s="48">
        <f t="shared" si="7"/>
        <v>1836.75</v>
      </c>
      <c r="F46" s="48">
        <f t="shared" si="7"/>
        <v>1994.25</v>
      </c>
      <c r="G46" s="48">
        <f t="shared" si="7"/>
        <v>2133</v>
      </c>
      <c r="H46" s="48">
        <f t="shared" si="7"/>
        <v>2357.25</v>
      </c>
      <c r="I46" s="48">
        <f t="shared" si="7"/>
        <v>2532.75</v>
      </c>
      <c r="J46" s="48">
        <f t="shared" si="7"/>
        <v>3048.75</v>
      </c>
      <c r="K46" s="48">
        <f t="shared" si="7"/>
        <v>2991</v>
      </c>
      <c r="L46" s="48">
        <f t="shared" si="7"/>
        <v>4051.5</v>
      </c>
      <c r="M46" s="48">
        <f t="shared" si="7"/>
        <v>5049</v>
      </c>
      <c r="N46" s="48">
        <f t="shared" si="7"/>
        <v>3735</v>
      </c>
    </row>
    <row r="48" spans="2:14" x14ac:dyDescent="0.3">
      <c r="B48" s="8" t="s">
        <v>336</v>
      </c>
      <c r="D48">
        <f>D41+D42</f>
        <v>964</v>
      </c>
      <c r="E48">
        <f t="shared" ref="E48:N48" si="8">E41+E42</f>
        <v>599</v>
      </c>
      <c r="F48">
        <f t="shared" si="8"/>
        <v>1621</v>
      </c>
      <c r="G48">
        <f t="shared" si="8"/>
        <v>1471</v>
      </c>
      <c r="H48">
        <f t="shared" si="8"/>
        <v>978</v>
      </c>
      <c r="I48">
        <f t="shared" si="8"/>
        <v>1373</v>
      </c>
      <c r="J48">
        <f t="shared" si="8"/>
        <v>750</v>
      </c>
      <c r="K48">
        <f t="shared" si="8"/>
        <v>3306</v>
      </c>
      <c r="L48">
        <f t="shared" si="8"/>
        <v>2175</v>
      </c>
      <c r="M48">
        <f t="shared" si="8"/>
        <v>2389</v>
      </c>
      <c r="N48">
        <f t="shared" si="8"/>
        <v>1806</v>
      </c>
    </row>
    <row r="49" spans="2:14" x14ac:dyDescent="0.3">
      <c r="B49" t="s">
        <v>337</v>
      </c>
      <c r="D49" s="33">
        <f>D48/D46</f>
        <v>0.65014331478671383</v>
      </c>
      <c r="E49" s="33">
        <f t="shared" ref="E49:N49" si="9">E48/E46</f>
        <v>0.32611950455968425</v>
      </c>
      <c r="F49" s="33">
        <f t="shared" si="9"/>
        <v>0.81283690610505199</v>
      </c>
      <c r="G49" s="33">
        <f t="shared" si="9"/>
        <v>0.6896390060947023</v>
      </c>
      <c r="H49" s="33">
        <f t="shared" si="9"/>
        <v>0.41489023226216992</v>
      </c>
      <c r="I49" s="33">
        <f t="shared" si="9"/>
        <v>0.54209850952521965</v>
      </c>
      <c r="J49" s="33">
        <f t="shared" si="9"/>
        <v>0.24600246002460024</v>
      </c>
      <c r="K49" s="33">
        <f t="shared" si="9"/>
        <v>1.1053159478435306</v>
      </c>
      <c r="L49" s="33">
        <f t="shared" si="9"/>
        <v>0.53683820807108473</v>
      </c>
      <c r="M49" s="33">
        <f t="shared" si="9"/>
        <v>0.47316300257476729</v>
      </c>
      <c r="N49" s="33">
        <f t="shared" si="9"/>
        <v>0.48353413654618471</v>
      </c>
    </row>
    <row r="51" spans="2:14" x14ac:dyDescent="0.3">
      <c r="M51" s="104" t="s">
        <v>338</v>
      </c>
      <c r="N51" s="174">
        <f>AVERAGE(K49:N49)</f>
        <v>0.64971282375889183</v>
      </c>
    </row>
    <row r="52" spans="2:14" x14ac:dyDescent="0.3">
      <c r="M52" s="104" t="s">
        <v>339</v>
      </c>
      <c r="N52" s="174">
        <f>MEDIAN(K49:N49)</f>
        <v>0.51018617230863472</v>
      </c>
    </row>
    <row r="55" spans="2:14" x14ac:dyDescent="0.3">
      <c r="B55" s="9" t="s">
        <v>340</v>
      </c>
    </row>
    <row r="57" spans="2:14" x14ac:dyDescent="0.3">
      <c r="B57" t="s">
        <v>343</v>
      </c>
      <c r="D57" s="19">
        <f>D49</f>
        <v>0.65014331478671383</v>
      </c>
      <c r="E57" s="19">
        <f t="shared" ref="E57:N57" si="10">E49</f>
        <v>0.32611950455968425</v>
      </c>
      <c r="F57" s="19">
        <f t="shared" si="10"/>
        <v>0.81283690610505199</v>
      </c>
      <c r="G57" s="19">
        <f t="shared" si="10"/>
        <v>0.6896390060947023</v>
      </c>
      <c r="H57" s="19">
        <f t="shared" si="10"/>
        <v>0.41489023226216992</v>
      </c>
      <c r="I57" s="19">
        <f t="shared" si="10"/>
        <v>0.54209850952521965</v>
      </c>
      <c r="J57" s="19">
        <f t="shared" si="10"/>
        <v>0.24600246002460024</v>
      </c>
      <c r="K57" s="19">
        <f t="shared" si="10"/>
        <v>1.1053159478435306</v>
      </c>
      <c r="L57" s="19">
        <f t="shared" si="10"/>
        <v>0.53683820807108473</v>
      </c>
      <c r="M57" s="19">
        <f t="shared" si="10"/>
        <v>0.47316300257476729</v>
      </c>
      <c r="N57" s="19">
        <f t="shared" si="10"/>
        <v>0.48353413654618471</v>
      </c>
    </row>
    <row r="58" spans="2:14" x14ac:dyDescent="0.3">
      <c r="B58" t="s">
        <v>342</v>
      </c>
      <c r="D58" s="19">
        <f>D37</f>
        <v>0.54238683127572018</v>
      </c>
      <c r="E58" s="19">
        <f t="shared" ref="E58:N58" si="11">E37</f>
        <v>0.79668184775536754</v>
      </c>
      <c r="F58" s="19">
        <f t="shared" si="11"/>
        <v>0.63339685564554549</v>
      </c>
      <c r="G58" s="19">
        <f t="shared" si="11"/>
        <v>0.56305682043159766</v>
      </c>
      <c r="H58" s="19">
        <f t="shared" si="11"/>
        <v>0.37726563437762572</v>
      </c>
      <c r="I58" s="19">
        <f t="shared" si="11"/>
        <v>0.35629879721460223</v>
      </c>
      <c r="J58" s="19">
        <f t="shared" si="11"/>
        <v>0.40311384371281239</v>
      </c>
      <c r="K58" s="19">
        <f t="shared" si="11"/>
        <v>0.30618042226487524</v>
      </c>
      <c r="L58" s="19">
        <f t="shared" si="11"/>
        <v>0.36211288376457973</v>
      </c>
      <c r="M58" s="19">
        <f t="shared" si="11"/>
        <v>0.40162271805273836</v>
      </c>
      <c r="N58" s="19">
        <f t="shared" si="11"/>
        <v>0.25395206527281999</v>
      </c>
    </row>
    <row r="60" spans="2:14" ht="15" thickBot="1" x14ac:dyDescent="0.35">
      <c r="B60" s="172" t="s">
        <v>341</v>
      </c>
      <c r="C60" s="172"/>
      <c r="D60" s="173">
        <f>D57*D58</f>
        <v>0.35262917238225877</v>
      </c>
      <c r="E60" s="173">
        <f t="shared" ref="E60:N60" si="12">E57*E58</f>
        <v>0.25981348948167426</v>
      </c>
      <c r="F60" s="173">
        <f t="shared" si="12"/>
        <v>0.51484834047959338</v>
      </c>
      <c r="G60" s="173">
        <f t="shared" si="12"/>
        <v>0.38830594601729029</v>
      </c>
      <c r="H60" s="173">
        <f t="shared" si="12"/>
        <v>0.15652382667146802</v>
      </c>
      <c r="I60" s="173">
        <f t="shared" si="12"/>
        <v>0.19314904691566434</v>
      </c>
      <c r="J60" s="173">
        <f t="shared" si="12"/>
        <v>9.9166997223324074E-2</v>
      </c>
      <c r="K60" s="173">
        <f t="shared" si="12"/>
        <v>0.33842610364683301</v>
      </c>
      <c r="L60" s="173">
        <f t="shared" si="12"/>
        <v>0.19439603163962998</v>
      </c>
      <c r="M60" s="173">
        <f t="shared" si="12"/>
        <v>0.19003301117607288</v>
      </c>
      <c r="N60" s="173">
        <f t="shared" si="12"/>
        <v>0.12279449260581335</v>
      </c>
    </row>
    <row r="61" spans="2:14" ht="15" thickTop="1" x14ac:dyDescent="0.3"/>
    <row r="63" spans="2:14" x14ac:dyDescent="0.3">
      <c r="M63" s="104" t="s">
        <v>338</v>
      </c>
      <c r="N63" s="174">
        <f>AVERAGE(H60:K60)</f>
        <v>0.19681649361432235</v>
      </c>
    </row>
    <row r="64" spans="2:14" x14ac:dyDescent="0.3">
      <c r="M64" s="104" t="s">
        <v>339</v>
      </c>
      <c r="N64" s="174">
        <f>MEDIAN(H60:K60)</f>
        <v>0.1748364367935662</v>
      </c>
    </row>
  </sheetData>
  <mergeCells count="1">
    <mergeCell ref="B3:N3"/>
  </mergeCells>
  <pageMargins left="0.7" right="0.7" top="0.75" bottom="0.75" header="0.3" footer="0.3"/>
  <pageSetup orientation="portrait" r:id="rId1"/>
  <ignoredErrors>
    <ignoredError sqref="C41:N4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EC3E-0553-4E85-9CBB-B81539BB25C4}">
  <sheetPr>
    <tabColor theme="8" tint="0.79998168889431442"/>
  </sheetPr>
  <dimension ref="B2:L43"/>
  <sheetViews>
    <sheetView showGridLines="0" workbookViewId="0">
      <selection activeCell="G19" sqref="G19"/>
    </sheetView>
  </sheetViews>
  <sheetFormatPr defaultRowHeight="14.4" x14ac:dyDescent="0.3"/>
  <cols>
    <col min="1" max="1" width="1.88671875" customWidth="1"/>
    <col min="2" max="2" width="23.6640625" bestFit="1" customWidth="1"/>
    <col min="3" max="12" width="13.77734375" customWidth="1"/>
  </cols>
  <sheetData>
    <row r="2" spans="2:12" ht="17.399999999999999" customHeight="1" x14ac:dyDescent="0.3">
      <c r="B2" s="193" t="str">
        <f>"Common Size Statment - "&amp;UPDATE</f>
        <v>Common Size Statment - Tata Motors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2:12" x14ac:dyDescent="0.3">
      <c r="B3" s="9" t="s">
        <v>270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</row>
    <row r="5" spans="2:12" s="8" customFormat="1" x14ac:dyDescent="0.3">
      <c r="B5" s="131" t="str">
        <f>'Data Sheet'!A17</f>
        <v>Sales</v>
      </c>
      <c r="C5" s="132">
        <f>'Data Sheet'!B17/'Data Sheet'!B$17</f>
        <v>1</v>
      </c>
      <c r="D5" s="132">
        <f>'Data Sheet'!C17/'Data Sheet'!C$17</f>
        <v>1</v>
      </c>
      <c r="E5" s="132">
        <f>'Data Sheet'!D17/'Data Sheet'!D$17</f>
        <v>1</v>
      </c>
      <c r="F5" s="132">
        <f>'Data Sheet'!E17/'Data Sheet'!E$17</f>
        <v>1</v>
      </c>
      <c r="G5" s="132">
        <f>'Data Sheet'!F17/'Data Sheet'!F$17</f>
        <v>1</v>
      </c>
      <c r="H5" s="132">
        <f>'Data Sheet'!G17/'Data Sheet'!G$17</f>
        <v>1</v>
      </c>
      <c r="I5" s="132">
        <f>'Data Sheet'!H17/'Data Sheet'!H$17</f>
        <v>1</v>
      </c>
      <c r="J5" s="132">
        <f>'Data Sheet'!I17/'Data Sheet'!I$17</f>
        <v>1</v>
      </c>
      <c r="K5" s="132">
        <f>'Data Sheet'!J17/'Data Sheet'!J$17</f>
        <v>1</v>
      </c>
      <c r="L5" s="132">
        <f>'Data Sheet'!K17/'Data Sheet'!K$17</f>
        <v>1</v>
      </c>
    </row>
    <row r="6" spans="2:12" x14ac:dyDescent="0.3">
      <c r="B6" s="130" t="str">
        <f>'Data Sheet'!A18</f>
        <v>Raw Material Cost</v>
      </c>
      <c r="C6" s="33">
        <f>'Data Sheet'!B18/'Data Sheet'!B$17</f>
        <v>0.60844785632875986</v>
      </c>
      <c r="D6" s="33">
        <f>'Data Sheet'!C18/'Data Sheet'!C$17</f>
        <v>0.64256170851760019</v>
      </c>
      <c r="E6" s="33">
        <f>'Data Sheet'!D18/'Data Sheet'!D$17</f>
        <v>0.6444735745247272</v>
      </c>
      <c r="F6" s="33">
        <f>'Data Sheet'!E18/'Data Sheet'!E$17</f>
        <v>0.64340246222408271</v>
      </c>
      <c r="G6" s="33">
        <f>'Data Sheet'!F18/'Data Sheet'!F$17</f>
        <v>0.63163558516963991</v>
      </c>
      <c r="H6" s="33">
        <f>'Data Sheet'!G18/'Data Sheet'!G$17</f>
        <v>0.6149343010611712</v>
      </c>
      <c r="I6" s="33">
        <f>'Data Sheet'!H18/'Data Sheet'!H$17</f>
        <v>0.64389656704768283</v>
      </c>
      <c r="J6" s="33">
        <f>'Data Sheet'!I18/'Data Sheet'!I$17</f>
        <v>0.66842005177546293</v>
      </c>
      <c r="K6" s="33">
        <f>'Data Sheet'!J18/'Data Sheet'!J$17</f>
        <v>0.63205273538302731</v>
      </c>
      <c r="L6" s="33">
        <f>'Data Sheet'!K18/'Data Sheet'!K$17</f>
        <v>0.61167400129635319</v>
      </c>
    </row>
    <row r="7" spans="2:12" x14ac:dyDescent="0.3">
      <c r="B7" s="130" t="str">
        <f>'Data Sheet'!A19</f>
        <v>Change in Inventory</v>
      </c>
      <c r="C7" s="33">
        <f>'Data Sheet'!B19/'Data Sheet'!B$17</f>
        <v>1.0075203555743071E-2</v>
      </c>
      <c r="D7" s="33">
        <f>'Data Sheet'!C19/'Data Sheet'!C$17</f>
        <v>2.7438359337454348E-2</v>
      </c>
      <c r="E7" s="33">
        <f>'Data Sheet'!D19/'Data Sheet'!D$17</f>
        <v>7.0196420187680708E-3</v>
      </c>
      <c r="F7" s="33">
        <f>'Data Sheet'!E19/'Data Sheet'!E$17</f>
        <v>-6.8003274840166073E-3</v>
      </c>
      <c r="G7" s="33">
        <f>'Data Sheet'!F19/'Data Sheet'!F$17</f>
        <v>-8.5463950250197294E-3</v>
      </c>
      <c r="H7" s="33">
        <f>'Data Sheet'!G19/'Data Sheet'!G$17</f>
        <v>-1.8752035421080705E-2</v>
      </c>
      <c r="I7" s="33">
        <f>'Data Sheet'!H19/'Data Sheet'!H$17</f>
        <v>-5.7118668451859233E-3</v>
      </c>
      <c r="J7" s="33">
        <f>'Data Sheet'!I19/'Data Sheet'!I$17</f>
        <v>1.3821030371772196E-2</v>
      </c>
      <c r="K7" s="33">
        <f>'Data Sheet'!J19/'Data Sheet'!J$17</f>
        <v>3.6081619110816189E-3</v>
      </c>
      <c r="L7" s="33">
        <f>'Data Sheet'!K19/'Data Sheet'!K$17</f>
        <v>-6.4499255165512458E-3</v>
      </c>
    </row>
    <row r="8" spans="2:12" x14ac:dyDescent="0.3">
      <c r="B8" s="130" t="str">
        <f>'Data Sheet'!A20</f>
        <v>Power and Fuel</v>
      </c>
      <c r="C8" s="33">
        <f>'Data Sheet'!B20/'Data Sheet'!B$17</f>
        <v>4.1884212746881849E-3</v>
      </c>
      <c r="D8" s="33">
        <f>'Data Sheet'!C20/'Data Sheet'!C$17</f>
        <v>4.3005272931013168E-3</v>
      </c>
      <c r="E8" s="33">
        <f>'Data Sheet'!D20/'Data Sheet'!D$17</f>
        <v>4.4866329837632236E-3</v>
      </c>
      <c r="F8" s="33">
        <f>'Data Sheet'!E20/'Data Sheet'!E$17</f>
        <v>5.252495210943689E-3</v>
      </c>
      <c r="G8" s="33">
        <f>'Data Sheet'!F20/'Data Sheet'!F$17</f>
        <v>4.8452899066859867E-3</v>
      </c>
      <c r="H8" s="33">
        <f>'Data Sheet'!G20/'Data Sheet'!G$17</f>
        <v>4.4551376680254488E-3</v>
      </c>
      <c r="I8" s="33">
        <f>'Data Sheet'!H20/'Data Sheet'!H$17</f>
        <v>7.8228108508698862E-3</v>
      </c>
      <c r="J8" s="33">
        <f>'Data Sheet'!I20/'Data Sheet'!I$17</f>
        <v>7.2646530389880865E-3</v>
      </c>
      <c r="K8" s="33">
        <f>'Data Sheet'!J20/'Data Sheet'!J$17</f>
        <v>5.0435928629359288E-3</v>
      </c>
      <c r="L8" s="33">
        <f>'Data Sheet'!K20/'Data Sheet'!K$17</f>
        <v>5.5561241315002447E-3</v>
      </c>
    </row>
    <row r="9" spans="2:12" x14ac:dyDescent="0.3">
      <c r="B9" s="130" t="str">
        <f>'Data Sheet'!A21</f>
        <v>Other Mfr. Exp</v>
      </c>
      <c r="C9" s="33">
        <f>'Data Sheet'!B21/'Data Sheet'!B$17</f>
        <v>4.4320545725695638E-2</v>
      </c>
      <c r="D9" s="33">
        <f>'Data Sheet'!C21/'Data Sheet'!C$17</f>
        <v>3.7329067833585743E-2</v>
      </c>
      <c r="E9" s="33">
        <f>'Data Sheet'!D21/'Data Sheet'!D$17</f>
        <v>3.7632110912662539E-2</v>
      </c>
      <c r="F9" s="33">
        <f>'Data Sheet'!E21/'Data Sheet'!E$17</f>
        <v>3.8731542592793759E-2</v>
      </c>
      <c r="G9" s="33">
        <f>'Data Sheet'!F21/'Data Sheet'!F$17</f>
        <v>4.4208831899217663E-2</v>
      </c>
      <c r="H9" s="33">
        <f>'Data Sheet'!G21/'Data Sheet'!G$17</f>
        <v>3.3119871414431248E-2</v>
      </c>
      <c r="I9" s="33">
        <f>'Data Sheet'!H21/'Data Sheet'!H$17</f>
        <v>3.3856194794666339E-2</v>
      </c>
      <c r="J9" s="33">
        <f>'Data Sheet'!I21/'Data Sheet'!I$17</f>
        <v>3.4008940217616732E-2</v>
      </c>
      <c r="K9" s="33">
        <f>'Data Sheet'!J21/'Data Sheet'!J$17</f>
        <v>4.019667477696675E-2</v>
      </c>
      <c r="L9" s="33">
        <f>'Data Sheet'!K21/'Data Sheet'!K$17</f>
        <v>4.2786476989731516E-2</v>
      </c>
    </row>
    <row r="10" spans="2:12" x14ac:dyDescent="0.3">
      <c r="B10" s="130" t="str">
        <f>'Data Sheet'!A22</f>
        <v>Employee Cost</v>
      </c>
      <c r="C10" s="33">
        <f>'Data Sheet'!B22/'Data Sheet'!B$17</f>
        <v>0.10577313825968997</v>
      </c>
      <c r="D10" s="33">
        <f>'Data Sheet'!C22/'Data Sheet'!C$17</f>
        <v>0.10505627316086753</v>
      </c>
      <c r="E10" s="33">
        <f>'Data Sheet'!D22/'Data Sheet'!D$17</f>
        <v>0.10392742279141506</v>
      </c>
      <c r="F10" s="33">
        <f>'Data Sheet'!E22/'Data Sheet'!E$17</f>
        <v>0.11010149752399827</v>
      </c>
      <c r="G10" s="33">
        <f>'Data Sheet'!F22/'Data Sheet'!F$17</f>
        <v>0.11659262528451882</v>
      </c>
      <c r="H10" s="33">
        <f>'Data Sheet'!G22/'Data Sheet'!G$17</f>
        <v>0.11068479221440802</v>
      </c>
      <c r="I10" s="33">
        <f>'Data Sheet'!H22/'Data Sheet'!H$17</f>
        <v>0.11064147774412127</v>
      </c>
      <c r="J10" s="33">
        <f>'Data Sheet'!I22/'Data Sheet'!I$17</f>
        <v>9.7277205393335675E-2</v>
      </c>
      <c r="K10" s="33">
        <f>'Data Sheet'!J22/'Data Sheet'!J$17</f>
        <v>9.674758534247585E-2</v>
      </c>
      <c r="L10" s="33">
        <f>'Data Sheet'!K22/'Data Sheet'!K$17</f>
        <v>0.10863666859982488</v>
      </c>
    </row>
    <row r="11" spans="2:12" x14ac:dyDescent="0.3">
      <c r="B11" s="130" t="str">
        <f>'Data Sheet'!A23</f>
        <v>Selling and admin</v>
      </c>
      <c r="C11" s="33">
        <f>'Data Sheet'!B23/'Data Sheet'!B$17</f>
        <v>8.0542956927341092E-2</v>
      </c>
      <c r="D11" s="33">
        <f>'Data Sheet'!C23/'Data Sheet'!C$17</f>
        <v>0.1113838126242364</v>
      </c>
      <c r="E11" s="33">
        <f>'Data Sheet'!D23/'Data Sheet'!D$17</f>
        <v>0.10634377964323709</v>
      </c>
      <c r="F11" s="33">
        <f>'Data Sheet'!E23/'Data Sheet'!E$17</f>
        <v>0.1083658123643763</v>
      </c>
      <c r="G11" s="33">
        <f>'Data Sheet'!F23/'Data Sheet'!F$17</f>
        <v>0.11203335284677013</v>
      </c>
      <c r="H11" s="33">
        <f>'Data Sheet'!G23/'Data Sheet'!G$17</f>
        <v>9.2138805959692913E-2</v>
      </c>
      <c r="I11" s="33">
        <f>'Data Sheet'!H23/'Data Sheet'!H$17</f>
        <v>0.10488425325553319</v>
      </c>
      <c r="J11" s="33">
        <f>'Data Sheet'!I23/'Data Sheet'!I$17</f>
        <v>0.10070091373173573</v>
      </c>
      <c r="K11" s="33">
        <f>'Data Sheet'!J23/'Data Sheet'!J$17</f>
        <v>9.853323379783234E-2</v>
      </c>
      <c r="L11" s="33">
        <f>'Data Sheet'!K23/'Data Sheet'!K$17</f>
        <v>0.10711743367561605</v>
      </c>
    </row>
    <row r="12" spans="2:12" x14ac:dyDescent="0.3">
      <c r="B12" s="130" t="str">
        <f>'Data Sheet'!A24</f>
        <v>Other Expenses</v>
      </c>
      <c r="C12" s="33">
        <f>'Data Sheet'!B24/'Data Sheet'!B$17</f>
        <v>2.6183831565130516E-2</v>
      </c>
      <c r="D12" s="33">
        <f>'Data Sheet'!C24/'Data Sheet'!C$17</f>
        <v>1.7094282670289951E-2</v>
      </c>
      <c r="E12" s="33">
        <f>'Data Sheet'!D24/'Data Sheet'!D$17</f>
        <v>2.2582367211331639E-3</v>
      </c>
      <c r="F12" s="33">
        <f>'Data Sheet'!E24/'Data Sheet'!E$17</f>
        <v>5.6592338039812094E-3</v>
      </c>
      <c r="G12" s="33">
        <f>'Data Sheet'!F24/'Data Sheet'!F$17</f>
        <v>1.3239885383105405E-2</v>
      </c>
      <c r="H12" s="33">
        <f>'Data Sheet'!G24/'Data Sheet'!G$17</f>
        <v>-3.3407827826645677E-3</v>
      </c>
      <c r="I12" s="33">
        <f>'Data Sheet'!H24/'Data Sheet'!H$17</f>
        <v>4.4105011096641517E-3</v>
      </c>
      <c r="J12" s="33">
        <f>'Data Sheet'!I24/'Data Sheet'!I$17</f>
        <v>1.4187308112100993E-2</v>
      </c>
      <c r="K12" s="33">
        <f>'Data Sheet'!J24/'Data Sheet'!J$17</f>
        <v>-2.1957715844577157E-3</v>
      </c>
      <c r="L12" s="33">
        <f>'Data Sheet'!K24/'Data Sheet'!K$17</f>
        <v>-7.7985876573533923E-3</v>
      </c>
    </row>
    <row r="13" spans="2:12" x14ac:dyDescent="0.3">
      <c r="B13" s="130" t="str">
        <f>'Data Sheet'!A26</f>
        <v>Depreciation</v>
      </c>
      <c r="C13" s="33">
        <f>'Data Sheet'!B26/'Data Sheet'!B$17</f>
        <v>6.1201425695927715E-2</v>
      </c>
      <c r="D13" s="33">
        <f>'Data Sheet'!C26/'Data Sheet'!C$17</f>
        <v>6.63903865924938E-2</v>
      </c>
      <c r="E13" s="33">
        <f>'Data Sheet'!D26/'Data Sheet'!D$17</f>
        <v>7.3927472182518786E-2</v>
      </c>
      <c r="F13" s="33">
        <f>'Data Sheet'!E26/'Data Sheet'!E$17</f>
        <v>7.8130605447998658E-2</v>
      </c>
      <c r="G13" s="33">
        <f>'Data Sheet'!F26/'Data Sheet'!F$17</f>
        <v>8.206839774331566E-2</v>
      </c>
      <c r="H13" s="33">
        <f>'Data Sheet'!G26/'Data Sheet'!G$17</f>
        <v>9.4264230933596482E-2</v>
      </c>
      <c r="I13" s="33">
        <f>'Data Sheet'!H26/'Data Sheet'!H$17</f>
        <v>8.9191478279219347E-2</v>
      </c>
      <c r="J13" s="33">
        <f>'Data Sheet'!I26/'Data Sheet'!I$17</f>
        <v>7.1857611147098821E-2</v>
      </c>
      <c r="K13" s="33">
        <f>'Data Sheet'!J26/'Data Sheet'!J$17</f>
        <v>6.2760359065103591E-2</v>
      </c>
      <c r="L13" s="33">
        <f>'Data Sheet'!K26/'Data Sheet'!K$17</f>
        <v>5.2891208678743216E-2</v>
      </c>
    </row>
    <row r="14" spans="2:12" x14ac:dyDescent="0.3">
      <c r="B14" s="130" t="str">
        <f>'Data Sheet'!A27</f>
        <v>Interest</v>
      </c>
      <c r="C14" s="33">
        <f>'Data Sheet'!B27/'Data Sheet'!B$17</f>
        <v>1.7905727101993223E-2</v>
      </c>
      <c r="D14" s="33">
        <f>'Data Sheet'!C27/'Data Sheet'!C$17</f>
        <v>1.5714229512714312E-2</v>
      </c>
      <c r="E14" s="33">
        <f>'Data Sheet'!D27/'Data Sheet'!D$17</f>
        <v>1.605824830060304E-2</v>
      </c>
      <c r="F14" s="33">
        <f>'Data Sheet'!E27/'Data Sheet'!E$17</f>
        <v>1.9072102124141878E-2</v>
      </c>
      <c r="G14" s="33">
        <f>'Data Sheet'!F27/'Data Sheet'!F$17</f>
        <v>2.7744996829752802E-2</v>
      </c>
      <c r="H14" s="33">
        <f>'Data Sheet'!G27/'Data Sheet'!G$17</f>
        <v>3.2415292955516477E-2</v>
      </c>
      <c r="I14" s="33">
        <f>'Data Sheet'!H27/'Data Sheet'!H$17</f>
        <v>3.3441332168710897E-2</v>
      </c>
      <c r="J14" s="33">
        <f>'Data Sheet'!I27/'Data Sheet'!I$17</f>
        <v>2.9556231914277829E-2</v>
      </c>
      <c r="K14" s="33">
        <f>'Data Sheet'!J27/'Data Sheet'!J$17</f>
        <v>1.7497050799970507E-2</v>
      </c>
      <c r="L14" s="33">
        <f>'Data Sheet'!K27/'Data Sheet'!K$17</f>
        <v>1.1560286107415368E-2</v>
      </c>
    </row>
    <row r="15" spans="2:12" x14ac:dyDescent="0.3">
      <c r="B15" s="130" t="str">
        <f>'Data Sheet'!A28</f>
        <v>Profit before tax</v>
      </c>
      <c r="C15" s="33">
        <f>'Data Sheet'!B28/'Data Sheet'!B$17</f>
        <v>5.1734105951533375E-2</v>
      </c>
      <c r="D15" s="33">
        <f>'Data Sheet'!C28/'Data Sheet'!C$17</f>
        <v>3.453855652127677E-2</v>
      </c>
      <c r="E15" s="33">
        <f>'Data Sheet'!D28/'Data Sheet'!D$17</f>
        <v>3.8261058599526235E-2</v>
      </c>
      <c r="F15" s="33">
        <f>'Data Sheet'!E28/'Data Sheet'!E$17</f>
        <v>-0.10389917281140788</v>
      </c>
      <c r="G15" s="33">
        <f>'Data Sheet'!F28/'Data Sheet'!F$17</f>
        <v>-4.0525768059559354E-2</v>
      </c>
      <c r="H15" s="33">
        <f>'Data Sheet'!G28/'Data Sheet'!G$17</f>
        <v>-4.1931545799101064E-2</v>
      </c>
      <c r="I15" s="33">
        <f>'Data Sheet'!H28/'Data Sheet'!H$17</f>
        <v>-2.5151082611172375E-2</v>
      </c>
      <c r="J15" s="33">
        <f>'Data Sheet'!I28/'Data Sheet'!I$17</f>
        <v>9.809982727541881E-3</v>
      </c>
      <c r="K15" s="33">
        <f>'Data Sheet'!J28/'Data Sheet'!J$17</f>
        <v>6.4013769077637686E-2</v>
      </c>
      <c r="L15" s="33">
        <f>'Data Sheet'!K28/'Data Sheet'!K$17</f>
        <v>8.7904115352687662E-2</v>
      </c>
    </row>
    <row r="16" spans="2:12" x14ac:dyDescent="0.3">
      <c r="B16" s="130" t="str">
        <f>'Data Sheet'!A29</f>
        <v>Tax</v>
      </c>
      <c r="C16" s="33">
        <f>'Data Sheet'!B29/'Data Sheet'!B$17</f>
        <v>1.1078918686109574E-2</v>
      </c>
      <c r="D16" s="33">
        <f>'Data Sheet'!C29/'Data Sheet'!C$17</f>
        <v>1.2055321818169885E-2</v>
      </c>
      <c r="E16" s="33">
        <f>'Data Sheet'!D29/'Data Sheet'!D$17</f>
        <v>1.4892549653836963E-2</v>
      </c>
      <c r="F16" s="33">
        <f>'Data Sheet'!E29/'Data Sheet'!E$17</f>
        <v>-8.0726731015332912E-3</v>
      </c>
      <c r="G16" s="33">
        <f>'Data Sheet'!F29/'Data Sheet'!F$17</f>
        <v>1.5139735448971392E-3</v>
      </c>
      <c r="H16" s="33">
        <f>'Data Sheet'!G29/'Data Sheet'!G$17</f>
        <v>1.0175794327142584E-2</v>
      </c>
      <c r="I16" s="33">
        <f>'Data Sheet'!H29/'Data Sheet'!H$17</f>
        <v>1.5195672442685429E-2</v>
      </c>
      <c r="J16" s="33">
        <f>'Data Sheet'!I29/'Data Sheet'!I$17</f>
        <v>2.0350497621203548E-3</v>
      </c>
      <c r="K16" s="33">
        <f>'Data Sheet'!J29/'Data Sheet'!J$17</f>
        <v>-9.2715475927154754E-3</v>
      </c>
      <c r="L16" s="33">
        <f>'Data Sheet'!K29/'Data Sheet'!K$17</f>
        <v>2.3884738284492661E-2</v>
      </c>
    </row>
    <row r="17" spans="2:12" x14ac:dyDescent="0.3">
      <c r="B17" s="130" t="str">
        <f>'Data Sheet'!A30</f>
        <v>Net profit</v>
      </c>
      <c r="C17" s="33">
        <f>'Data Sheet'!B30/'Data Sheet'!B$17</f>
        <v>4.2407971415763523E-2</v>
      </c>
      <c r="D17" s="33">
        <f>'Data Sheet'!C30/'Data Sheet'!C$17</f>
        <v>2.764021885516954E-2</v>
      </c>
      <c r="E17" s="33">
        <f>'Data Sheet'!D30/'Data Sheet'!D$17</f>
        <v>3.0831401821049997E-2</v>
      </c>
      <c r="F17" s="33">
        <f>'Data Sheet'!E30/'Data Sheet'!E$17</f>
        <v>-9.5470566181711222E-2</v>
      </c>
      <c r="G17" s="33">
        <f>'Data Sheet'!F30/'Data Sheet'!F$17</f>
        <v>-4.6236426475450051E-2</v>
      </c>
      <c r="H17" s="33">
        <f>'Data Sheet'!G30/'Data Sheet'!G$17</f>
        <v>-5.3849770661713266E-2</v>
      </c>
      <c r="I17" s="33">
        <f>'Data Sheet'!H30/'Data Sheet'!H$17</f>
        <v>-4.1089320368684734E-2</v>
      </c>
      <c r="J17" s="33">
        <f>'Data Sheet'!I30/'Data Sheet'!I$17</f>
        <v>6.9783829363826268E-3</v>
      </c>
      <c r="K17" s="33">
        <f>'Data Sheet'!J30/'Data Sheet'!J$17</f>
        <v>7.2345259160952594E-2</v>
      </c>
      <c r="L17" s="33">
        <f>'Data Sheet'!K30/'Data Sheet'!K$17</f>
        <v>6.3293874162771921E-2</v>
      </c>
    </row>
    <row r="18" spans="2:12" x14ac:dyDescent="0.3">
      <c r="B18" s="130" t="str">
        <f>'Data Sheet'!A31</f>
        <v>Dividend Amount</v>
      </c>
      <c r="C18" s="33">
        <f>'Data Sheet'!B31/'Data Sheet'!B$17</f>
        <v>2.487496593975512E-4</v>
      </c>
      <c r="D18" s="33">
        <f>'Data Sheet'!C31/'Data Sheet'!C$17</f>
        <v>0</v>
      </c>
      <c r="E18" s="33">
        <f>'Data Sheet'!D31/'Data Sheet'!D$17</f>
        <v>0</v>
      </c>
      <c r="F18" s="33">
        <f>'Data Sheet'!E31/'Data Sheet'!E$17</f>
        <v>0</v>
      </c>
      <c r="G18" s="33">
        <f>'Data Sheet'!F31/'Data Sheet'!F$17</f>
        <v>0</v>
      </c>
      <c r="H18" s="33">
        <f>'Data Sheet'!G31/'Data Sheet'!G$17</f>
        <v>0</v>
      </c>
      <c r="I18" s="33">
        <f>'Data Sheet'!H31/'Data Sheet'!H$17</f>
        <v>0</v>
      </c>
      <c r="J18" s="33">
        <f>'Data Sheet'!I31/'Data Sheet'!I$17</f>
        <v>2.2141420032091505E-3</v>
      </c>
      <c r="K18" s="33">
        <f>'Data Sheet'!J31/'Data Sheet'!J$17</f>
        <v>5.3016478655164784E-3</v>
      </c>
      <c r="L18" s="33">
        <f>'Data Sheet'!K31/'Data Sheet'!K$17</f>
        <v>5.0216627434926482E-3</v>
      </c>
    </row>
    <row r="19" spans="2:12" x14ac:dyDescent="0.3">
      <c r="B19" s="130"/>
    </row>
    <row r="20" spans="2:12" x14ac:dyDescent="0.3">
      <c r="B20" s="130"/>
    </row>
    <row r="21" spans="2:12" x14ac:dyDescent="0.3">
      <c r="B21" s="130"/>
    </row>
    <row r="22" spans="2:12" x14ac:dyDescent="0.3">
      <c r="B22" s="193" t="str">
        <f>"Common Size Statment - "&amp;UPDATE</f>
        <v>Common Size Statment - Tata Motors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</row>
    <row r="23" spans="2:12" x14ac:dyDescent="0.3">
      <c r="B23" s="9" t="s">
        <v>273</v>
      </c>
      <c r="C23" s="10">
        <f>'Data Sheet'!B56</f>
        <v>42460</v>
      </c>
      <c r="D23" s="10">
        <f>'Data Sheet'!C56</f>
        <v>42825</v>
      </c>
      <c r="E23" s="10">
        <f>'Data Sheet'!D56</f>
        <v>43190</v>
      </c>
      <c r="F23" s="10">
        <f>'Data Sheet'!E56</f>
        <v>43555</v>
      </c>
      <c r="G23" s="10">
        <f>'Data Sheet'!F56</f>
        <v>43921</v>
      </c>
      <c r="H23" s="10">
        <f>'Data Sheet'!G56</f>
        <v>44286</v>
      </c>
      <c r="I23" s="10">
        <f>'Data Sheet'!H56</f>
        <v>44651</v>
      </c>
      <c r="J23" s="10">
        <f>'Data Sheet'!I56</f>
        <v>45016</v>
      </c>
      <c r="K23" s="10">
        <f>'Data Sheet'!J56</f>
        <v>45382</v>
      </c>
      <c r="L23" s="10">
        <f>'Data Sheet'!K56</f>
        <v>45747</v>
      </c>
    </row>
    <row r="25" spans="2:12" x14ac:dyDescent="0.3">
      <c r="B25" s="131" t="s">
        <v>271</v>
      </c>
      <c r="C25" s="132">
        <f>'Data Sheet'!B61/'Data Sheet'!B$61</f>
        <v>1</v>
      </c>
      <c r="D25" s="132">
        <f>'Data Sheet'!C61/'Data Sheet'!C$61</f>
        <v>1</v>
      </c>
      <c r="E25" s="132">
        <f>'Data Sheet'!D61/'Data Sheet'!D$61</f>
        <v>1</v>
      </c>
      <c r="F25" s="132">
        <f>'Data Sheet'!E61/'Data Sheet'!E$61</f>
        <v>1</v>
      </c>
      <c r="G25" s="132">
        <f>'Data Sheet'!F61/'Data Sheet'!F$61</f>
        <v>1</v>
      </c>
      <c r="H25" s="132">
        <f>'Data Sheet'!G61/'Data Sheet'!G$61</f>
        <v>1</v>
      </c>
      <c r="I25" s="132">
        <f>'Data Sheet'!H61/'Data Sheet'!H$61</f>
        <v>1</v>
      </c>
      <c r="J25" s="132">
        <f>'Data Sheet'!I61/'Data Sheet'!I$61</f>
        <v>1</v>
      </c>
      <c r="K25" s="132">
        <f>'Data Sheet'!J61/'Data Sheet'!J$61</f>
        <v>1</v>
      </c>
      <c r="L25" s="132">
        <f>'Data Sheet'!K61/'Data Sheet'!K$61</f>
        <v>1</v>
      </c>
    </row>
    <row r="26" spans="2:12" x14ac:dyDescent="0.3">
      <c r="B26" s="130" t="str">
        <f>'Data Sheet'!A57</f>
        <v>Equity Share Capital</v>
      </c>
      <c r="C26" s="133">
        <f>'Data Sheet'!B57/'Data Sheet'!B$61</f>
        <v>2.5806268250531225E-3</v>
      </c>
      <c r="D26" s="133">
        <f>'Data Sheet'!C57/'Data Sheet'!C$61</f>
        <v>2.491815624573979E-3</v>
      </c>
      <c r="E26" s="133">
        <f>'Data Sheet'!D57/'Data Sheet'!D$61</f>
        <v>2.0759077068585549E-3</v>
      </c>
      <c r="F26" s="133">
        <f>'Data Sheet'!E57/'Data Sheet'!E$61</f>
        <v>2.2218261230841693E-3</v>
      </c>
      <c r="G26" s="133">
        <f>'Data Sheet'!F57/'Data Sheet'!F$61</f>
        <v>2.2473026761653833E-3</v>
      </c>
      <c r="H26" s="133">
        <f>'Data Sheet'!G57/'Data Sheet'!G$61</f>
        <v>2.2420300429859294E-3</v>
      </c>
      <c r="I26" s="133">
        <f>'Data Sheet'!H57/'Data Sheet'!H$61</f>
        <v>2.3274677325505334E-3</v>
      </c>
      <c r="J26" s="133">
        <f>'Data Sheet'!I57/'Data Sheet'!I$61</f>
        <v>2.2888512875034999E-3</v>
      </c>
      <c r="K26" s="133">
        <f>'Data Sheet'!J57/'Data Sheet'!J$61</f>
        <v>2.0756601113333206E-3</v>
      </c>
      <c r="L26" s="133">
        <f>'Data Sheet'!K57/'Data Sheet'!K$61</f>
        <v>1.952394468569367E-3</v>
      </c>
    </row>
    <row r="27" spans="2:12" x14ac:dyDescent="0.3">
      <c r="B27" s="130" t="str">
        <f>'Data Sheet'!A58</f>
        <v>Reserves</v>
      </c>
      <c r="C27" s="133">
        <f>'Data Sheet'!B58/'Data Sheet'!B$61</f>
        <v>0.2974086354450261</v>
      </c>
      <c r="D27" s="133">
        <f>'Data Sheet'!C58/'Data Sheet'!C$61</f>
        <v>0.21051652437468349</v>
      </c>
      <c r="E27" s="133">
        <f>'Data Sheet'!D58/'Data Sheet'!D$61</f>
        <v>0.28958148432871839</v>
      </c>
      <c r="F27" s="133">
        <f>'Data Sheet'!E58/'Data Sheet'!E$61</f>
        <v>0.19463415350606564</v>
      </c>
      <c r="G27" s="133">
        <f>'Data Sheet'!F58/'Data Sheet'!F$61</f>
        <v>0.19476266101949907</v>
      </c>
      <c r="H27" s="133">
        <f>'Data Sheet'!G58/'Data Sheet'!G$61</f>
        <v>0.15950149121742019</v>
      </c>
      <c r="I27" s="133">
        <f>'Data Sheet'!H58/'Data Sheet'!H$61</f>
        <v>0.13309172094249011</v>
      </c>
      <c r="J27" s="133">
        <f>'Data Sheet'!I58/'Data Sheet'!I$61</f>
        <v>0.13313168263258116</v>
      </c>
      <c r="K27" s="133">
        <f>'Data Sheet'!J58/'Data Sheet'!J$61</f>
        <v>0.22772995310144756</v>
      </c>
      <c r="L27" s="133">
        <f>'Data Sheet'!K58/'Data Sheet'!K$61</f>
        <v>0.30614394134327921</v>
      </c>
    </row>
    <row r="28" spans="2:12" x14ac:dyDescent="0.3">
      <c r="B28" s="130" t="str">
        <f>'Data Sheet'!A59</f>
        <v>Borrowings</v>
      </c>
      <c r="C28" s="133">
        <f>'Data Sheet'!B59/'Data Sheet'!B$61</f>
        <v>0.2635415844998551</v>
      </c>
      <c r="D28" s="133">
        <f>'Data Sheet'!C59/'Data Sheet'!C$61</f>
        <v>0.2883699324485447</v>
      </c>
      <c r="E28" s="133">
        <f>'Data Sheet'!D59/'Data Sheet'!D$61</f>
        <v>0.27186031948660327</v>
      </c>
      <c r="F28" s="133">
        <f>'Data Sheet'!E59/'Data Sheet'!E$61</f>
        <v>0.34731477877468786</v>
      </c>
      <c r="G28" s="133">
        <f>'Data Sheet'!F59/'Data Sheet'!F$61</f>
        <v>0.38974288757311953</v>
      </c>
      <c r="H28" s="133">
        <f>'Data Sheet'!G59/'Data Sheet'!G$61</f>
        <v>0.41610975041683274</v>
      </c>
      <c r="I28" s="133">
        <f>'Data Sheet'!H59/'Data Sheet'!H$61</f>
        <v>0.445050649956031</v>
      </c>
      <c r="J28" s="133">
        <f>'Data Sheet'!I59/'Data Sheet'!I$61</f>
        <v>0.40072807474416255</v>
      </c>
      <c r="K28" s="133">
        <f>'Data Sheet'!J59/'Data Sheet'!J$61</f>
        <v>0.2902784956741295</v>
      </c>
      <c r="L28" s="133">
        <f>'Data Sheet'!K59/'Data Sheet'!K$61</f>
        <v>0.18977486451284309</v>
      </c>
    </row>
    <row r="29" spans="2:12" x14ac:dyDescent="0.3">
      <c r="B29" s="130" t="str">
        <f>'Data Sheet'!A60</f>
        <v>Other Liabilities</v>
      </c>
      <c r="C29" s="133">
        <f>'Data Sheet'!B60/'Data Sheet'!B$61</f>
        <v>0.43646915323006569</v>
      </c>
      <c r="D29" s="133">
        <f>'Data Sheet'!C60/'Data Sheet'!C$61</f>
        <v>0.4986217275521978</v>
      </c>
      <c r="E29" s="133">
        <f>'Data Sheet'!D60/'Data Sheet'!D$61</f>
        <v>0.43648228847781978</v>
      </c>
      <c r="F29" s="133">
        <f>'Data Sheet'!E60/'Data Sheet'!E$61</f>
        <v>0.45582924159616234</v>
      </c>
      <c r="G29" s="133">
        <f>'Data Sheet'!F60/'Data Sheet'!F$61</f>
        <v>0.41324714873121593</v>
      </c>
      <c r="H29" s="133">
        <f>'Data Sheet'!G60/'Data Sheet'!G$61</f>
        <v>0.42214672832276123</v>
      </c>
      <c r="I29" s="133">
        <f>'Data Sheet'!H60/'Data Sheet'!H$61</f>
        <v>0.41953016136892834</v>
      </c>
      <c r="J29" s="133">
        <f>'Data Sheet'!I60/'Data Sheet'!I$61</f>
        <v>0.46385139133575282</v>
      </c>
      <c r="K29" s="133">
        <f>'Data Sheet'!J60/'Data Sheet'!J$61</f>
        <v>0.47991589111308963</v>
      </c>
      <c r="L29" s="133">
        <f>'Data Sheet'!K60/'Data Sheet'!K$61</f>
        <v>0.50212879967530832</v>
      </c>
    </row>
    <row r="30" spans="2:12" x14ac:dyDescent="0.3">
      <c r="B30" s="130"/>
    </row>
    <row r="31" spans="2:12" x14ac:dyDescent="0.3">
      <c r="B31" s="131" t="s">
        <v>84</v>
      </c>
      <c r="C31" s="132">
        <f>'Data Sheet'!B76/'Data Sheet'!B$76</f>
        <v>1</v>
      </c>
      <c r="D31" s="132">
        <f>'Data Sheet'!C76/'Data Sheet'!C$76</f>
        <v>1</v>
      </c>
      <c r="E31" s="132">
        <f>'Data Sheet'!D76/'Data Sheet'!D$76</f>
        <v>1</v>
      </c>
      <c r="F31" s="132">
        <f>'Data Sheet'!E76/'Data Sheet'!E$76</f>
        <v>1</v>
      </c>
      <c r="G31" s="132">
        <f>'Data Sheet'!F76/'Data Sheet'!F$76</f>
        <v>1</v>
      </c>
      <c r="H31" s="132">
        <f>'Data Sheet'!G76/'Data Sheet'!G$76</f>
        <v>1</v>
      </c>
      <c r="I31" s="132">
        <f>'Data Sheet'!H76/'Data Sheet'!H$76</f>
        <v>1</v>
      </c>
      <c r="J31" s="132">
        <f>'Data Sheet'!I76/'Data Sheet'!I$76</f>
        <v>1</v>
      </c>
      <c r="K31" s="132">
        <f>'Data Sheet'!J76/'Data Sheet'!J$76</f>
        <v>1</v>
      </c>
      <c r="L31" s="132">
        <f>'Data Sheet'!K76/'Data Sheet'!K$76</f>
        <v>1</v>
      </c>
    </row>
    <row r="32" spans="2:12" x14ac:dyDescent="0.3">
      <c r="B32" s="130" t="str">
        <f>'Data Sheet'!A62</f>
        <v>Net Block</v>
      </c>
      <c r="C32" s="132">
        <f>'Data Sheet'!B62/'Data Sheet'!B$76</f>
        <v>0.40744008415097382</v>
      </c>
      <c r="D32" s="132">
        <f>'Data Sheet'!C62/'Data Sheet'!C$76</f>
        <v>0.35198456704657666</v>
      </c>
      <c r="E32" s="132">
        <f>'Data Sheet'!D62/'Data Sheet'!D$76</f>
        <v>0.37107854258332451</v>
      </c>
      <c r="F32" s="132">
        <f>'Data Sheet'!E62/'Data Sheet'!E$76</f>
        <v>0.36386391925064382</v>
      </c>
      <c r="G32" s="132">
        <f>'Data Sheet'!F62/'Data Sheet'!F$76</f>
        <v>0.39698726392101624</v>
      </c>
      <c r="H32" s="132">
        <f>'Data Sheet'!G62/'Data Sheet'!G$76</f>
        <v>0.40608849298230043</v>
      </c>
      <c r="I32" s="132">
        <f>'Data Sheet'!H62/'Data Sheet'!H$76</f>
        <v>0.42197417266906556</v>
      </c>
      <c r="J32" s="132">
        <f>'Data Sheet'!I62/'Data Sheet'!I$76</f>
        <v>0.39465148263642374</v>
      </c>
      <c r="K32" s="132">
        <f>'Data Sheet'!J62/'Data Sheet'!J$76</f>
        <v>0.32822221199877677</v>
      </c>
      <c r="L32" s="132">
        <f>'Data Sheet'!K62/'Data Sheet'!K$76</f>
        <v>0.3069105744973778</v>
      </c>
    </row>
    <row r="33" spans="2:12" x14ac:dyDescent="0.3">
      <c r="B33" s="130" t="str">
        <f>'Data Sheet'!A63</f>
        <v>Capital Work in Progress</v>
      </c>
      <c r="C33" s="132">
        <f>'Data Sheet'!B63/'Data Sheet'!B$76</f>
        <v>9.8482157662096018E-2</v>
      </c>
      <c r="D33" s="132">
        <f>'Data Sheet'!C63/'Data Sheet'!C$76</f>
        <v>0.12362900980833688</v>
      </c>
      <c r="E33" s="132">
        <f>'Data Sheet'!D63/'Data Sheet'!D$76</f>
        <v>0.12235483522646856</v>
      </c>
      <c r="F33" s="132">
        <f>'Data Sheet'!E63/'Data Sheet'!E$76</f>
        <v>0.1042966176146697</v>
      </c>
      <c r="G33" s="132">
        <f>'Data Sheet'!F63/'Data Sheet'!F$76</f>
        <v>0.11125728611076434</v>
      </c>
      <c r="H33" s="132">
        <f>'Data Sheet'!G63/'Data Sheet'!G$76</f>
        <v>6.137522476731045E-2</v>
      </c>
      <c r="I33" s="132">
        <f>'Data Sheet'!H63/'Data Sheet'!H$76</f>
        <v>3.1152505873598271E-2</v>
      </c>
      <c r="J33" s="132">
        <f>'Data Sheet'!I63/'Data Sheet'!I$76</f>
        <v>4.2651899041106903E-2</v>
      </c>
      <c r="K33" s="132">
        <f>'Data Sheet'!J63/'Data Sheet'!J$76</f>
        <v>9.6606146876632187E-2</v>
      </c>
      <c r="L33" s="132">
        <f>'Data Sheet'!K63/'Data Sheet'!K$76</f>
        <v>0.17456422608515729</v>
      </c>
    </row>
    <row r="34" spans="2:12" x14ac:dyDescent="0.3">
      <c r="B34" s="130" t="str">
        <f>'Data Sheet'!A64</f>
        <v>Investments</v>
      </c>
      <c r="C34" s="132">
        <f>'Data Sheet'!B64/'Data Sheet'!B$76</f>
        <v>9.0305676497502971E-2</v>
      </c>
      <c r="D34" s="132">
        <f>'Data Sheet'!C64/'Data Sheet'!C$76</f>
        <v>7.4612565630187005E-2</v>
      </c>
      <c r="E34" s="132">
        <f>'Data Sheet'!D64/'Data Sheet'!D$76</f>
        <v>6.3610241344366186E-2</v>
      </c>
      <c r="F34" s="132">
        <f>'Data Sheet'!E64/'Data Sheet'!E$76</f>
        <v>5.1588289031309388E-2</v>
      </c>
      <c r="G34" s="132">
        <f>'Data Sheet'!F64/'Data Sheet'!F$76</f>
        <v>5.0935445907370862E-2</v>
      </c>
      <c r="H34" s="132">
        <f>'Data Sheet'!G64/'Data Sheet'!G$76</f>
        <v>7.207976838475029E-2</v>
      </c>
      <c r="I34" s="132">
        <f>'Data Sheet'!H64/'Data Sheet'!H$76</f>
        <v>8.9282796355173596E-2</v>
      </c>
      <c r="J34" s="132">
        <f>'Data Sheet'!I64/'Data Sheet'!I$76</f>
        <v>7.8820362822460022E-2</v>
      </c>
      <c r="K34" s="132">
        <f>'Data Sheet'!J64/'Data Sheet'!J$76</f>
        <v>6.2164261300440303E-2</v>
      </c>
      <c r="L34" s="132">
        <f>'Data Sheet'!K64/'Data Sheet'!K$76</f>
        <v>9.4585023330583357E-2</v>
      </c>
    </row>
    <row r="35" spans="2:12" x14ac:dyDescent="0.3">
      <c r="B35" s="130" t="str">
        <f>'Data Sheet'!A65</f>
        <v>Other Assets</v>
      </c>
      <c r="C35" s="132">
        <f>'Data Sheet'!B65/'Data Sheet'!B$76</f>
        <v>0.40377208168942713</v>
      </c>
      <c r="D35" s="132">
        <f>'Data Sheet'!C65/'Data Sheet'!C$76</f>
        <v>0.44977385751489951</v>
      </c>
      <c r="E35" s="132">
        <f>'Data Sheet'!D65/'Data Sheet'!D$76</f>
        <v>0.44295638084584099</v>
      </c>
      <c r="F35" s="132">
        <f>'Data Sheet'!E65/'Data Sheet'!E$76</f>
        <v>0.48025117410337709</v>
      </c>
      <c r="G35" s="132">
        <f>'Data Sheet'!F65/'Data Sheet'!F$76</f>
        <v>0.44082000406084854</v>
      </c>
      <c r="H35" s="132">
        <f>'Data Sheet'!G65/'Data Sheet'!G$76</f>
        <v>0.46045651386563885</v>
      </c>
      <c r="I35" s="132">
        <f>'Data Sheet'!H65/'Data Sheet'!H$76</f>
        <v>0.45759052510216247</v>
      </c>
      <c r="J35" s="132">
        <f>'Data Sheet'!I65/'Data Sheet'!I$76</f>
        <v>0.4838762555000094</v>
      </c>
      <c r="K35" s="132">
        <f>'Data Sheet'!J65/'Data Sheet'!J$76</f>
        <v>0.51300737982415068</v>
      </c>
      <c r="L35" s="132">
        <f>'Data Sheet'!K65/'Data Sheet'!K$76</f>
        <v>0.42394017608688156</v>
      </c>
    </row>
    <row r="36" spans="2:12" x14ac:dyDescent="0.3">
      <c r="B36" s="130" t="str">
        <f>'Data Sheet'!A67</f>
        <v>Receivables</v>
      </c>
      <c r="C36" s="132">
        <f>'Data Sheet'!B67/'Data Sheet'!B$76</f>
        <v>5.1564319306195219E-2</v>
      </c>
      <c r="D36" s="132">
        <f>'Data Sheet'!C67/'Data Sheet'!C$76</f>
        <v>5.1638166447501938E-2</v>
      </c>
      <c r="E36" s="132">
        <f>'Data Sheet'!D67/'Data Sheet'!D$76</f>
        <v>6.0800115993123433E-2</v>
      </c>
      <c r="F36" s="132">
        <f>'Data Sheet'!E67/'Data Sheet'!E$76</f>
        <v>6.2139198999658127E-2</v>
      </c>
      <c r="G36" s="132">
        <f>'Data Sheet'!F67/'Data Sheet'!F$76</f>
        <v>3.4895094278241959E-2</v>
      </c>
      <c r="H36" s="132">
        <f>'Data Sheet'!G67/'Data Sheet'!G$76</f>
        <v>3.7120014464974392E-2</v>
      </c>
      <c r="I36" s="132">
        <f>'Data Sheet'!H67/'Data Sheet'!H$76</f>
        <v>3.7810927070195906E-2</v>
      </c>
      <c r="J36" s="132">
        <f>'Data Sheet'!I67/'Data Sheet'!I$76</f>
        <v>4.7024715930643397E-2</v>
      </c>
      <c r="K36" s="132">
        <f>'Data Sheet'!J67/'Data Sheet'!J$76</f>
        <v>4.5875606528451698E-2</v>
      </c>
      <c r="L36" s="132">
        <f>'Data Sheet'!K67/'Data Sheet'!K$76</f>
        <v>3.5143100434248606E-2</v>
      </c>
    </row>
    <row r="37" spans="2:12" x14ac:dyDescent="0.3">
      <c r="B37" s="130" t="str">
        <f>'Data Sheet'!A68</f>
        <v>Inventory</v>
      </c>
      <c r="C37" s="132">
        <f>'Data Sheet'!B68/'Data Sheet'!B$76</f>
        <v>0.12407940874244236</v>
      </c>
      <c r="D37" s="132">
        <f>'Data Sheet'!C68/'Data Sheet'!C$76</f>
        <v>0.12871547311772571</v>
      </c>
      <c r="E37" s="132">
        <f>'Data Sheet'!D68/'Data Sheet'!D$76</f>
        <v>0.12878571135383862</v>
      </c>
      <c r="F37" s="132">
        <f>'Data Sheet'!E68/'Data Sheet'!E$76</f>
        <v>0.12761951131143451</v>
      </c>
      <c r="G37" s="132">
        <f>'Data Sheet'!F68/'Data Sheet'!F$76</f>
        <v>0.11698716772494318</v>
      </c>
      <c r="H37" s="132">
        <f>'Data Sheet'!G68/'Data Sheet'!G$76</f>
        <v>0.1056550619461767</v>
      </c>
      <c r="I37" s="132">
        <f>'Data Sheet'!H68/'Data Sheet'!H$76</f>
        <v>0.10709347970192437</v>
      </c>
      <c r="J37" s="132">
        <f>'Data Sheet'!I68/'Data Sheet'!I$76</f>
        <v>0.12177622891596469</v>
      </c>
      <c r="K37" s="132">
        <f>'Data Sheet'!J68/'Data Sheet'!J$76</f>
        <v>0.12932417914002181</v>
      </c>
      <c r="L37" s="132">
        <f>'Data Sheet'!K68/'Data Sheet'!K$76</f>
        <v>0.12539094311794213</v>
      </c>
    </row>
    <row r="38" spans="2:12" x14ac:dyDescent="0.3">
      <c r="B38" s="130" t="str">
        <f>'Data Sheet'!A69</f>
        <v>Cash &amp; Bank</v>
      </c>
      <c r="C38" s="132">
        <f>'Data Sheet'!B69/'Data Sheet'!B$76</f>
        <v>0.11573798601526566</v>
      </c>
      <c r="D38" s="132">
        <f>'Data Sheet'!C69/'Data Sheet'!C$76</f>
        <v>0.13235685799226327</v>
      </c>
      <c r="E38" s="132">
        <f>'Data Sheet'!D69/'Data Sheet'!D$76</f>
        <v>0.10579088150158773</v>
      </c>
      <c r="F38" s="132">
        <f>'Data Sheet'!E69/'Data Sheet'!E$76</f>
        <v>0.10679897700873484</v>
      </c>
      <c r="G38" s="132">
        <f>'Data Sheet'!F69/'Data Sheet'!F$76</f>
        <v>0.10533772957715985</v>
      </c>
      <c r="H38" s="132">
        <f>'Data Sheet'!G69/'Data Sheet'!G$76</f>
        <v>0.13699233635656022</v>
      </c>
      <c r="I38" s="132">
        <f>'Data Sheet'!H69/'Data Sheet'!H$76</f>
        <v>0.1235914600641965</v>
      </c>
      <c r="J38" s="132">
        <f>'Data Sheet'!I69/'Data Sheet'!I$76</f>
        <v>0.11060169729728082</v>
      </c>
      <c r="K38" s="132">
        <f>'Data Sheet'!J69/'Data Sheet'!J$76</f>
        <v>0.1239631847716368</v>
      </c>
      <c r="L38" s="132">
        <f>'Data Sheet'!K69/'Data Sheet'!K$76</f>
        <v>0.10832075506733904</v>
      </c>
    </row>
    <row r="39" spans="2:12" x14ac:dyDescent="0.3">
      <c r="B39" s="130"/>
      <c r="C39" s="19"/>
    </row>
    <row r="40" spans="2:12" x14ac:dyDescent="0.3">
      <c r="B40" s="130"/>
    </row>
    <row r="41" spans="2:12" x14ac:dyDescent="0.3">
      <c r="B41" s="130"/>
    </row>
    <row r="42" spans="2:12" x14ac:dyDescent="0.3">
      <c r="B42" s="130"/>
    </row>
    <row r="43" spans="2:12" x14ac:dyDescent="0.3">
      <c r="B43" s="130"/>
    </row>
  </sheetData>
  <mergeCells count="2">
    <mergeCell ref="B2:L2"/>
    <mergeCell ref="B22:L2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7B66-3B4E-4A5C-9585-4D876A005284}">
  <dimension ref="B3:J40"/>
  <sheetViews>
    <sheetView showGridLines="0" tabSelected="1" workbookViewId="0">
      <selection activeCell="N9" sqref="N9"/>
    </sheetView>
  </sheetViews>
  <sheetFormatPr defaultRowHeight="14.4" outlineLevelRow="1" x14ac:dyDescent="0.3"/>
  <cols>
    <col min="1" max="1" width="1.88671875" customWidth="1"/>
    <col min="2" max="2" width="25.109375" bestFit="1" customWidth="1"/>
    <col min="5" max="5" width="12.88671875" customWidth="1"/>
    <col min="6" max="9" width="10.5546875" bestFit="1" customWidth="1"/>
    <col min="10" max="10" width="21.88671875" bestFit="1" customWidth="1"/>
  </cols>
  <sheetData>
    <row r="3" spans="2:10" x14ac:dyDescent="0.3">
      <c r="B3" s="9" t="s">
        <v>344</v>
      </c>
      <c r="C3" s="9"/>
      <c r="D3" s="177">
        <f>'Intrinsic Growth'!N4</f>
        <v>45717</v>
      </c>
      <c r="E3" s="178">
        <f>D3+366</f>
        <v>46083</v>
      </c>
      <c r="F3" s="178">
        <f t="shared" ref="F3:I3" si="0">E3+365</f>
        <v>46448</v>
      </c>
      <c r="G3" s="178">
        <f t="shared" si="0"/>
        <v>46813</v>
      </c>
      <c r="H3" s="178">
        <f t="shared" si="0"/>
        <v>47178</v>
      </c>
      <c r="I3" s="178">
        <f t="shared" si="0"/>
        <v>47543</v>
      </c>
    </row>
    <row r="5" spans="2:10" x14ac:dyDescent="0.3">
      <c r="B5" s="146" t="s">
        <v>326</v>
      </c>
      <c r="C5" s="146"/>
      <c r="D5" s="184">
        <f>'Asian Paints Data'!N117</f>
        <v>4980</v>
      </c>
      <c r="E5" s="158">
        <f>D5*(1+$D$15)</f>
        <v>6013.35</v>
      </c>
      <c r="F5" s="158">
        <f>E5*(1+$D$15)</f>
        <v>7261.1201250000004</v>
      </c>
      <c r="G5" s="158">
        <f>F5*(1+$D$15)</f>
        <v>8767.8025509375002</v>
      </c>
      <c r="H5" s="158">
        <f>G5*(1+$D$15)</f>
        <v>10587.121580257031</v>
      </c>
      <c r="I5" s="158">
        <f>H5*(1+$D$15)</f>
        <v>12783.949308160365</v>
      </c>
    </row>
    <row r="6" spans="2:10" x14ac:dyDescent="0.3">
      <c r="B6" s="146" t="s">
        <v>214</v>
      </c>
      <c r="C6" s="146"/>
      <c r="D6" s="185">
        <v>0.25</v>
      </c>
      <c r="E6" s="181">
        <v>0.25</v>
      </c>
      <c r="F6" s="181">
        <v>0.25</v>
      </c>
      <c r="G6" s="181">
        <v>0.25</v>
      </c>
      <c r="H6" s="181">
        <v>0.25</v>
      </c>
      <c r="I6" s="181">
        <v>0.25</v>
      </c>
    </row>
    <row r="7" spans="2:10" x14ac:dyDescent="0.3">
      <c r="B7" s="146" t="s">
        <v>345</v>
      </c>
      <c r="C7" s="146"/>
      <c r="D7" s="184">
        <f t="shared" ref="D7:I7" si="1">D5*(1-D6)</f>
        <v>3735</v>
      </c>
      <c r="E7" s="158">
        <f t="shared" si="1"/>
        <v>4510.0125000000007</v>
      </c>
      <c r="F7" s="158">
        <f t="shared" si="1"/>
        <v>5445.8400937500001</v>
      </c>
      <c r="G7" s="158">
        <f t="shared" si="1"/>
        <v>6575.8519132031252</v>
      </c>
      <c r="H7" s="158">
        <f t="shared" si="1"/>
        <v>7940.341185192774</v>
      </c>
      <c r="I7" s="158">
        <f t="shared" si="1"/>
        <v>9587.9619811202738</v>
      </c>
    </row>
    <row r="8" spans="2:10" x14ac:dyDescent="0.3">
      <c r="B8" s="146" t="s">
        <v>346</v>
      </c>
      <c r="C8" s="146"/>
      <c r="D8" s="186">
        <f>'Intrinsic Growth'!N52</f>
        <v>0.51018617230863472</v>
      </c>
      <c r="E8" s="182">
        <f>D8+(($I$8-$D$8)/4)</f>
        <v>0.505489629231476</v>
      </c>
      <c r="F8" s="182">
        <f t="shared" ref="F8:H8" si="2">E8+(($I$8-$D$8)/4)</f>
        <v>0.50079308615431728</v>
      </c>
      <c r="G8" s="182">
        <f t="shared" si="2"/>
        <v>0.49609654307715861</v>
      </c>
      <c r="H8" s="182">
        <f t="shared" si="2"/>
        <v>0.49139999999999995</v>
      </c>
      <c r="I8" s="182">
        <v>0.4914</v>
      </c>
      <c r="J8" t="s">
        <v>350</v>
      </c>
    </row>
    <row r="9" spans="2:10" x14ac:dyDescent="0.3">
      <c r="B9" s="146" t="s">
        <v>347</v>
      </c>
      <c r="C9" s="146"/>
      <c r="D9" s="184">
        <f t="shared" ref="D9:I9" si="3">D7*D8</f>
        <v>1905.5453535727506</v>
      </c>
      <c r="E9" s="158">
        <f t="shared" si="3"/>
        <v>2279.7645464543225</v>
      </c>
      <c r="F9" s="158">
        <f t="shared" si="3"/>
        <v>2727.2390672519791</v>
      </c>
      <c r="G9" s="158">
        <f t="shared" si="3"/>
        <v>3262.2574019273902</v>
      </c>
      <c r="H9" s="158">
        <f t="shared" si="3"/>
        <v>3901.8836584037285</v>
      </c>
      <c r="I9" s="158">
        <f t="shared" si="3"/>
        <v>4711.5245175225027</v>
      </c>
    </row>
    <row r="10" spans="2:10" x14ac:dyDescent="0.3">
      <c r="B10" s="146" t="s">
        <v>351</v>
      </c>
      <c r="C10" s="146"/>
      <c r="D10" s="187"/>
      <c r="E10" s="183">
        <v>0.5</v>
      </c>
      <c r="F10" s="146">
        <f>E10+1</f>
        <v>1.5</v>
      </c>
      <c r="G10" s="146">
        <f t="shared" ref="G10:I10" si="4">F10+1</f>
        <v>2.5</v>
      </c>
      <c r="H10" s="146">
        <f t="shared" si="4"/>
        <v>3.5</v>
      </c>
      <c r="I10" s="146">
        <f t="shared" si="4"/>
        <v>4.5</v>
      </c>
    </row>
    <row r="11" spans="2:10" x14ac:dyDescent="0.3">
      <c r="B11" s="146" t="s">
        <v>352</v>
      </c>
      <c r="C11" s="146"/>
      <c r="D11" s="187"/>
      <c r="E11" s="188">
        <f>1/(1+$D$17)^E10</f>
        <v>0.90715556025840838</v>
      </c>
      <c r="F11" s="188">
        <f t="shared" ref="F11:I11" si="5">1/(1+$D$17)^F10</f>
        <v>0.74652662332228559</v>
      </c>
      <c r="G11" s="188">
        <f t="shared" si="5"/>
        <v>0.61434005780686929</v>
      </c>
      <c r="H11" s="188">
        <f t="shared" si="5"/>
        <v>0.50555960743440609</v>
      </c>
      <c r="I11" s="188">
        <f t="shared" si="5"/>
        <v>0.41604077972981718</v>
      </c>
    </row>
    <row r="12" spans="2:10" ht="2.4" customHeight="1" x14ac:dyDescent="0.3"/>
    <row r="13" spans="2:10" ht="15" thickBot="1" x14ac:dyDescent="0.35">
      <c r="B13" s="189" t="s">
        <v>353</v>
      </c>
      <c r="C13" s="189"/>
      <c r="D13" s="189"/>
      <c r="E13" s="190">
        <f>E9*E11</f>
        <v>2068.1010843960271</v>
      </c>
      <c r="F13" s="190">
        <f t="shared" ref="F13:I13" si="6">F9*F11</f>
        <v>2035.9565718682397</v>
      </c>
      <c r="G13" s="190">
        <f t="shared" si="6"/>
        <v>2004.1354008809601</v>
      </c>
      <c r="H13" s="190">
        <f t="shared" si="6"/>
        <v>1972.6347705973133</v>
      </c>
      <c r="I13" s="190">
        <f t="shared" si="6"/>
        <v>1960.1863339862127</v>
      </c>
    </row>
    <row r="14" spans="2:10" ht="15" thickTop="1" x14ac:dyDescent="0.3"/>
    <row r="15" spans="2:10" outlineLevel="1" x14ac:dyDescent="0.3">
      <c r="B15" t="s">
        <v>354</v>
      </c>
      <c r="D15" s="179">
        <v>0.20749999999999999</v>
      </c>
    </row>
    <row r="16" spans="2:10" outlineLevel="1" x14ac:dyDescent="0.3">
      <c r="B16" t="s">
        <v>355</v>
      </c>
      <c r="D16" s="179">
        <v>5.8599999999999999E-2</v>
      </c>
    </row>
    <row r="17" spans="2:4" outlineLevel="1" x14ac:dyDescent="0.3">
      <c r="B17" t="s">
        <v>269</v>
      </c>
      <c r="D17" s="19">
        <f>WACC!M48</f>
        <v>0.21516839710454294</v>
      </c>
    </row>
    <row r="19" spans="2:4" x14ac:dyDescent="0.3">
      <c r="B19" t="s">
        <v>356</v>
      </c>
      <c r="D19" s="48">
        <f>I9*(1+D15)</f>
        <v>5689.1658549084223</v>
      </c>
    </row>
    <row r="20" spans="2:4" x14ac:dyDescent="0.3">
      <c r="B20" t="s">
        <v>269</v>
      </c>
      <c r="D20" s="19">
        <f>D17</f>
        <v>0.21516839710454294</v>
      </c>
    </row>
    <row r="21" spans="2:4" x14ac:dyDescent="0.3">
      <c r="B21" t="s">
        <v>355</v>
      </c>
      <c r="D21" s="19">
        <f>D16</f>
        <v>5.8599999999999999E-2</v>
      </c>
    </row>
    <row r="23" spans="2:4" ht="15" thickBot="1" x14ac:dyDescent="0.35">
      <c r="B23" s="189" t="s">
        <v>357</v>
      </c>
      <c r="C23" s="189"/>
      <c r="D23" s="189">
        <f>D19/(D20-D21)</f>
        <v>36336.616840432267</v>
      </c>
    </row>
    <row r="24" spans="2:4" ht="15" thickTop="1" x14ac:dyDescent="0.3"/>
    <row r="26" spans="2:4" x14ac:dyDescent="0.3">
      <c r="B26" s="9" t="s">
        <v>358</v>
      </c>
      <c r="C26" s="9"/>
      <c r="D26" s="9"/>
    </row>
    <row r="28" spans="2:4" x14ac:dyDescent="0.3">
      <c r="B28" t="s">
        <v>359</v>
      </c>
      <c r="D28" s="79">
        <f>SUM(E13:I13)</f>
        <v>10041.014161728754</v>
      </c>
    </row>
    <row r="29" spans="2:4" x14ac:dyDescent="0.3">
      <c r="B29" t="s">
        <v>360</v>
      </c>
      <c r="D29">
        <f>D23*I11</f>
        <v>15117.514403037047</v>
      </c>
    </row>
    <row r="30" spans="2:4" ht="15" thickBot="1" x14ac:dyDescent="0.35">
      <c r="B30" s="189" t="s">
        <v>361</v>
      </c>
      <c r="C30" s="189"/>
      <c r="D30" s="190">
        <f>SUM(D28:D29)</f>
        <v>25158.528564765802</v>
      </c>
    </row>
    <row r="31" spans="2:4" ht="15" thickTop="1" x14ac:dyDescent="0.3"/>
    <row r="32" spans="2:4" x14ac:dyDescent="0.3">
      <c r="B32" t="s">
        <v>362</v>
      </c>
      <c r="D32">
        <f>'Asian Paints Data'!N42</f>
        <v>782</v>
      </c>
    </row>
    <row r="33" spans="2:4" x14ac:dyDescent="0.3">
      <c r="B33" t="s">
        <v>363</v>
      </c>
      <c r="D33">
        <f>SUM('Asian Paints Data'!N7:N8)</f>
        <v>864</v>
      </c>
    </row>
    <row r="34" spans="2:4" ht="15" thickBot="1" x14ac:dyDescent="0.35">
      <c r="B34" s="189" t="s">
        <v>364</v>
      </c>
      <c r="C34" s="189"/>
      <c r="D34" s="190">
        <f>D30+D32-D33</f>
        <v>25076.528564765802</v>
      </c>
    </row>
    <row r="35" spans="2:4" ht="15" thickTop="1" x14ac:dyDescent="0.3">
      <c r="B35" t="s">
        <v>365</v>
      </c>
      <c r="D35" s="180">
        <v>95.92</v>
      </c>
    </row>
    <row r="37" spans="2:4" x14ac:dyDescent="0.3">
      <c r="B37" s="8" t="s">
        <v>366</v>
      </c>
      <c r="C37" s="8"/>
      <c r="D37" s="191">
        <f>D34/D35</f>
        <v>261.43169896544833</v>
      </c>
    </row>
    <row r="39" spans="2:4" x14ac:dyDescent="0.3">
      <c r="B39" t="s">
        <v>367</v>
      </c>
      <c r="D39">
        <f>2348</f>
        <v>2348</v>
      </c>
    </row>
    <row r="40" spans="2:4" x14ac:dyDescent="0.3">
      <c r="B40" t="s">
        <v>368</v>
      </c>
      <c r="D40" s="35">
        <f>D34/D39</f>
        <v>10.679952540360222</v>
      </c>
    </row>
  </sheetData>
  <pageMargins left="0.7" right="0.7" top="0.75" bottom="0.75" header="0.3" footer="0.3"/>
  <ignoredErrors>
    <ignoredError sqref="D3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135A-ACF9-4C12-92A4-41E0FF7F6D82}">
  <dimension ref="A3:H10"/>
  <sheetViews>
    <sheetView showGridLines="0" workbookViewId="0">
      <selection activeCell="G18" sqref="G18"/>
    </sheetView>
  </sheetViews>
  <sheetFormatPr defaultRowHeight="14.4" x14ac:dyDescent="0.3"/>
  <cols>
    <col min="1" max="1" width="5.33203125" bestFit="1" customWidth="1"/>
    <col min="2" max="2" width="13.44140625" bestFit="1" customWidth="1"/>
    <col min="3" max="3" width="7" bestFit="1" customWidth="1"/>
    <col min="4" max="4" width="16.5546875" bestFit="1" customWidth="1"/>
    <col min="5" max="5" width="8" bestFit="1" customWidth="1"/>
    <col min="6" max="6" width="10.6640625" bestFit="1" customWidth="1"/>
    <col min="8" max="8" width="9.5546875" bestFit="1" customWidth="1"/>
  </cols>
  <sheetData>
    <row r="3" spans="1:8" x14ac:dyDescent="0.3">
      <c r="A3" s="119" t="s">
        <v>255</v>
      </c>
      <c r="B3" s="120" t="s">
        <v>256</v>
      </c>
      <c r="C3" s="120" t="s">
        <v>257</v>
      </c>
      <c r="D3" s="120" t="s">
        <v>258</v>
      </c>
      <c r="E3" s="120" t="s">
        <v>228</v>
      </c>
      <c r="F3" s="121" t="s">
        <v>227</v>
      </c>
    </row>
    <row r="4" spans="1:8" x14ac:dyDescent="0.3">
      <c r="A4" s="111">
        <v>1</v>
      </c>
      <c r="B4" s="62" t="s">
        <v>251</v>
      </c>
      <c r="C4" s="62">
        <v>328.45</v>
      </c>
      <c r="D4" s="62">
        <v>316965.77</v>
      </c>
      <c r="E4" s="62">
        <v>2045</v>
      </c>
      <c r="F4" s="112">
        <v>7.0000000000000007E-2</v>
      </c>
      <c r="G4" s="33"/>
    </row>
    <row r="5" spans="1:8" x14ac:dyDescent="0.3">
      <c r="A5" s="111">
        <v>2</v>
      </c>
      <c r="B5" s="62" t="s">
        <v>252</v>
      </c>
      <c r="C5" s="62">
        <v>4418.3999999999996</v>
      </c>
      <c r="D5" s="62">
        <v>287519.90000000002</v>
      </c>
      <c r="E5" s="62">
        <v>819.62</v>
      </c>
      <c r="F5" s="113">
        <v>0.04</v>
      </c>
    </row>
    <row r="6" spans="1:8" x14ac:dyDescent="0.3">
      <c r="A6" s="111">
        <v>3</v>
      </c>
      <c r="B6" s="62" t="s">
        <v>250</v>
      </c>
      <c r="C6" s="62">
        <v>4815.7</v>
      </c>
      <c r="D6" s="62">
        <v>171192.1</v>
      </c>
      <c r="E6" s="62">
        <v>2237.19</v>
      </c>
      <c r="F6" s="113">
        <v>0.41</v>
      </c>
    </row>
    <row r="7" spans="1:8" x14ac:dyDescent="0.3">
      <c r="A7" s="111">
        <v>4</v>
      </c>
      <c r="B7" s="62" t="s">
        <v>253</v>
      </c>
      <c r="C7" s="62">
        <v>413.85</v>
      </c>
      <c r="D7" s="62">
        <v>103199.58</v>
      </c>
      <c r="E7" s="62">
        <v>1702.95</v>
      </c>
      <c r="F7" s="113">
        <v>0.17</v>
      </c>
    </row>
    <row r="8" spans="1:8" x14ac:dyDescent="0.3">
      <c r="A8" s="116">
        <v>5</v>
      </c>
      <c r="B8" s="76" t="s">
        <v>254</v>
      </c>
      <c r="C8" s="76">
        <v>1333.9</v>
      </c>
      <c r="D8" s="76">
        <v>86492.82</v>
      </c>
      <c r="E8" s="76">
        <v>267.33999999999997</v>
      </c>
      <c r="F8" s="122">
        <v>0.01</v>
      </c>
    </row>
    <row r="10" spans="1:8" x14ac:dyDescent="0.3">
      <c r="H10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F891-4500-4010-9C46-65857A3CA6D4}">
  <dimension ref="B2:G27"/>
  <sheetViews>
    <sheetView showGridLines="0" workbookViewId="0">
      <selection activeCell="G4" sqref="G4"/>
    </sheetView>
  </sheetViews>
  <sheetFormatPr defaultRowHeight="14.4" x14ac:dyDescent="0.3"/>
  <cols>
    <col min="1" max="1" width="1.88671875" customWidth="1"/>
    <col min="2" max="2" width="8.88671875" style="49"/>
    <col min="6" max="6" width="16.109375" bestFit="1" customWidth="1"/>
  </cols>
  <sheetData>
    <row r="2" spans="2:7" x14ac:dyDescent="0.3">
      <c r="B2" s="118" t="s">
        <v>262</v>
      </c>
      <c r="C2" s="118" t="s">
        <v>263</v>
      </c>
    </row>
    <row r="3" spans="2:7" x14ac:dyDescent="0.3">
      <c r="B3" s="49">
        <v>2000</v>
      </c>
      <c r="C3" s="125">
        <v>-0.14649999999999999</v>
      </c>
    </row>
    <row r="4" spans="2:7" x14ac:dyDescent="0.3">
      <c r="B4" s="49">
        <v>2001</v>
      </c>
      <c r="C4" s="125">
        <v>-0.1618</v>
      </c>
      <c r="F4" t="s">
        <v>264</v>
      </c>
      <c r="G4" s="19">
        <f>AVERAGE(C3:C27)</f>
        <v>0.15334799999999998</v>
      </c>
    </row>
    <row r="5" spans="2:7" x14ac:dyDescent="0.3">
      <c r="B5" s="49">
        <v>2002</v>
      </c>
      <c r="C5" s="125">
        <v>3.2500000000000001E-2</v>
      </c>
      <c r="F5" t="s">
        <v>265</v>
      </c>
      <c r="G5" s="33">
        <f>(1.38)/100</f>
        <v>1.38E-2</v>
      </c>
    </row>
    <row r="6" spans="2:7" x14ac:dyDescent="0.3">
      <c r="B6" s="49">
        <v>2003</v>
      </c>
      <c r="C6" s="125">
        <v>0.71900000000000008</v>
      </c>
      <c r="F6" t="s">
        <v>266</v>
      </c>
      <c r="G6" s="19">
        <f>SUM(G4:G5)</f>
        <v>0.16714799999999999</v>
      </c>
    </row>
    <row r="7" spans="2:7" x14ac:dyDescent="0.3">
      <c r="B7" s="49">
        <v>2004</v>
      </c>
      <c r="C7" s="125">
        <v>0.10679999999999999</v>
      </c>
    </row>
    <row r="8" spans="2:7" x14ac:dyDescent="0.3">
      <c r="B8" s="49">
        <v>2005</v>
      </c>
      <c r="C8" s="125">
        <v>0.36340000000000006</v>
      </c>
    </row>
    <row r="9" spans="2:7" x14ac:dyDescent="0.3">
      <c r="B9" s="49">
        <v>2006</v>
      </c>
      <c r="C9" s="125">
        <v>0.39829999999999999</v>
      </c>
    </row>
    <row r="10" spans="2:7" x14ac:dyDescent="0.3">
      <c r="B10" s="49">
        <v>2007</v>
      </c>
      <c r="C10" s="125">
        <v>0.54770000000000008</v>
      </c>
    </row>
    <row r="11" spans="2:7" x14ac:dyDescent="0.3">
      <c r="B11" s="49">
        <v>2008</v>
      </c>
      <c r="C11" s="125">
        <v>-0.51790000000000003</v>
      </c>
    </row>
    <row r="12" spans="2:7" x14ac:dyDescent="0.3">
      <c r="B12" s="49">
        <v>2009</v>
      </c>
      <c r="C12" s="125">
        <v>0.75760000000000005</v>
      </c>
    </row>
    <row r="13" spans="2:7" x14ac:dyDescent="0.3">
      <c r="B13" s="49">
        <v>2010</v>
      </c>
      <c r="C13" s="125">
        <v>0.17949999999999999</v>
      </c>
    </row>
    <row r="14" spans="2:7" x14ac:dyDescent="0.3">
      <c r="B14" s="49">
        <v>2011</v>
      </c>
      <c r="C14" s="125">
        <v>-0.2462</v>
      </c>
    </row>
    <row r="15" spans="2:7" x14ac:dyDescent="0.3">
      <c r="B15" s="49">
        <v>2012</v>
      </c>
      <c r="C15" s="125">
        <v>0.27699999999999997</v>
      </c>
    </row>
    <row r="16" spans="2:7" x14ac:dyDescent="0.3">
      <c r="B16" s="49">
        <v>2013</v>
      </c>
      <c r="C16" s="125">
        <v>6.7599999999999993E-2</v>
      </c>
    </row>
    <row r="17" spans="2:3" x14ac:dyDescent="0.3">
      <c r="B17" s="49">
        <v>2014</v>
      </c>
      <c r="C17" s="125">
        <v>0.31390000000000001</v>
      </c>
    </row>
    <row r="18" spans="2:3" x14ac:dyDescent="0.3">
      <c r="B18" s="49">
        <v>2015</v>
      </c>
      <c r="C18" s="125">
        <v>-4.0599999999999997E-2</v>
      </c>
    </row>
    <row r="19" spans="2:3" x14ac:dyDescent="0.3">
      <c r="B19" s="49">
        <v>2016</v>
      </c>
      <c r="C19" s="125">
        <v>3.0099999999999998E-2</v>
      </c>
    </row>
    <row r="20" spans="2:3" x14ac:dyDescent="0.3">
      <c r="B20" s="49">
        <v>2017</v>
      </c>
      <c r="C20" s="125">
        <v>0.28649999999999998</v>
      </c>
    </row>
    <row r="21" spans="2:3" x14ac:dyDescent="0.3">
      <c r="B21" s="49">
        <v>2018</v>
      </c>
      <c r="C21" s="125">
        <v>3.15E-2</v>
      </c>
    </row>
    <row r="22" spans="2:3" x14ac:dyDescent="0.3">
      <c r="B22" s="49">
        <v>2019</v>
      </c>
      <c r="C22" s="125">
        <v>0.1202</v>
      </c>
    </row>
    <row r="23" spans="2:3" x14ac:dyDescent="0.3">
      <c r="B23" s="49">
        <v>2020</v>
      </c>
      <c r="C23" s="125">
        <v>0.14899999999999999</v>
      </c>
    </row>
    <row r="24" spans="2:3" x14ac:dyDescent="0.3">
      <c r="B24" s="49">
        <v>2021</v>
      </c>
      <c r="C24" s="125">
        <v>0.2412</v>
      </c>
    </row>
    <row r="25" spans="2:3" x14ac:dyDescent="0.3">
      <c r="B25" s="49">
        <v>2022</v>
      </c>
      <c r="C25" s="125">
        <v>4.3200000000000002E-2</v>
      </c>
    </row>
    <row r="26" spans="2:3" x14ac:dyDescent="0.3">
      <c r="B26" s="49">
        <v>2023</v>
      </c>
      <c r="C26" s="125">
        <v>0.19420000000000001</v>
      </c>
    </row>
    <row r="27" spans="2:3" x14ac:dyDescent="0.3">
      <c r="B27" s="49">
        <v>2024</v>
      </c>
      <c r="C27" s="125">
        <v>8.7499999999999994E-2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DC6C-AF6B-4996-9DC6-7831E79F3AC8}">
  <dimension ref="B2:Q33"/>
  <sheetViews>
    <sheetView workbookViewId="0">
      <selection activeCell="J13" sqref="J13"/>
    </sheetView>
  </sheetViews>
  <sheetFormatPr defaultRowHeight="14.4" x14ac:dyDescent="0.3"/>
  <cols>
    <col min="2" max="2" width="25.77734375" bestFit="1" customWidth="1"/>
    <col min="3" max="14" width="11.77734375" style="26" customWidth="1"/>
  </cols>
  <sheetData>
    <row r="2" spans="2:17" s="8" customFormat="1" x14ac:dyDescent="0.3">
      <c r="C2" s="135">
        <v>41699</v>
      </c>
      <c r="D2" s="136">
        <v>42064</v>
      </c>
      <c r="E2" s="136">
        <v>42430</v>
      </c>
      <c r="F2" s="136">
        <v>42795</v>
      </c>
      <c r="G2" s="136">
        <v>43160</v>
      </c>
      <c r="H2" s="136">
        <v>43525</v>
      </c>
      <c r="I2" s="136">
        <v>43891</v>
      </c>
      <c r="J2" s="136">
        <v>44256</v>
      </c>
      <c r="K2" s="136">
        <v>44621</v>
      </c>
      <c r="L2" s="136">
        <v>44986</v>
      </c>
      <c r="M2" s="136">
        <v>45352</v>
      </c>
      <c r="N2" s="136">
        <v>45717</v>
      </c>
    </row>
    <row r="3" spans="2:17" x14ac:dyDescent="0.3">
      <c r="B3" s="8" t="s">
        <v>87</v>
      </c>
      <c r="C3" s="27">
        <v>36151</v>
      </c>
      <c r="D3" s="27">
        <v>35531</v>
      </c>
      <c r="E3" s="27">
        <v>37900</v>
      </c>
      <c r="F3" s="27">
        <v>30199</v>
      </c>
      <c r="G3" s="27">
        <v>23857</v>
      </c>
      <c r="H3" s="27">
        <v>18891</v>
      </c>
      <c r="I3" s="27">
        <v>26633</v>
      </c>
      <c r="J3" s="27">
        <v>29001</v>
      </c>
      <c r="K3" s="27">
        <v>14283</v>
      </c>
      <c r="L3" s="27">
        <v>35388</v>
      </c>
      <c r="M3" s="27">
        <v>67915</v>
      </c>
      <c r="N3" s="27">
        <v>63102</v>
      </c>
    </row>
    <row r="4" spans="2:17" x14ac:dyDescent="0.3">
      <c r="B4" t="s">
        <v>88</v>
      </c>
      <c r="C4" s="27">
        <v>36303</v>
      </c>
      <c r="D4" s="27">
        <v>43397</v>
      </c>
      <c r="E4" s="27">
        <v>38626</v>
      </c>
      <c r="F4" s="27">
        <v>28840</v>
      </c>
      <c r="G4" s="27">
        <v>33312</v>
      </c>
      <c r="H4" s="27">
        <v>28771</v>
      </c>
      <c r="I4" s="27">
        <v>23352</v>
      </c>
      <c r="J4" s="27">
        <v>31198</v>
      </c>
      <c r="K4" s="27">
        <v>26943</v>
      </c>
      <c r="L4" s="27">
        <v>41694</v>
      </c>
      <c r="M4" s="27">
        <v>65106</v>
      </c>
      <c r="N4" s="27">
        <v>58937</v>
      </c>
    </row>
    <row r="5" spans="2:17" x14ac:dyDescent="0.3">
      <c r="B5" t="s">
        <v>43</v>
      </c>
      <c r="C5" s="26">
        <v>445</v>
      </c>
      <c r="D5" s="27">
        <v>-3179</v>
      </c>
      <c r="E5" s="27">
        <v>-2223</v>
      </c>
      <c r="F5" s="27">
        <v>-4152</v>
      </c>
      <c r="G5" s="27">
        <v>-10688</v>
      </c>
      <c r="H5" s="27">
        <v>-9109</v>
      </c>
      <c r="I5" s="27">
        <v>9950</v>
      </c>
      <c r="J5" s="27">
        <v>-5505</v>
      </c>
      <c r="K5" s="26">
        <v>185</v>
      </c>
      <c r="L5" s="27">
        <v>-2213</v>
      </c>
      <c r="M5" s="27">
        <v>-1876</v>
      </c>
      <c r="N5" s="27">
        <v>3573</v>
      </c>
    </row>
    <row r="6" spans="2:17" x14ac:dyDescent="0.3">
      <c r="B6" t="s">
        <v>30</v>
      </c>
      <c r="C6" s="27">
        <v>-2853</v>
      </c>
      <c r="D6" s="27">
        <v>-3692</v>
      </c>
      <c r="E6" s="27">
        <v>-5743</v>
      </c>
      <c r="F6" s="27">
        <v>-6621</v>
      </c>
      <c r="G6" s="27">
        <v>-3560</v>
      </c>
      <c r="H6" s="27">
        <v>2069</v>
      </c>
      <c r="I6" s="27">
        <v>2326</v>
      </c>
      <c r="J6" s="27">
        <v>3814</v>
      </c>
      <c r="K6" s="26">
        <v>472</v>
      </c>
      <c r="L6" s="27">
        <v>-5665</v>
      </c>
      <c r="M6" s="27">
        <v>-7265</v>
      </c>
      <c r="N6" s="27">
        <v>2127</v>
      </c>
    </row>
    <row r="7" spans="2:17" x14ac:dyDescent="0.3">
      <c r="B7" t="s">
        <v>89</v>
      </c>
      <c r="C7" s="27">
        <v>4694</v>
      </c>
      <c r="D7" s="27">
        <v>3598</v>
      </c>
      <c r="E7" s="27">
        <v>3947</v>
      </c>
      <c r="F7" s="27">
        <v>9301</v>
      </c>
      <c r="G7" s="27">
        <v>7320</v>
      </c>
      <c r="H7" s="27">
        <v>-4692</v>
      </c>
      <c r="I7" s="27">
        <v>-8085</v>
      </c>
      <c r="J7" s="27">
        <v>5748</v>
      </c>
      <c r="K7" s="27">
        <v>-7012</v>
      </c>
      <c r="L7" s="27">
        <v>6945</v>
      </c>
      <c r="M7" s="27">
        <v>13706</v>
      </c>
      <c r="N7" s="27">
        <v>1303</v>
      </c>
      <c r="Q7" s="8"/>
    </row>
    <row r="8" spans="2:17" x14ac:dyDescent="0.3">
      <c r="B8" t="s">
        <v>90</v>
      </c>
      <c r="C8" s="26">
        <v>0</v>
      </c>
      <c r="D8" s="26">
        <v>0</v>
      </c>
      <c r="E8" s="26">
        <v>-520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</row>
    <row r="9" spans="2:17" x14ac:dyDescent="0.3">
      <c r="B9" t="s">
        <v>91</v>
      </c>
      <c r="C9" s="27">
        <v>1870</v>
      </c>
      <c r="D9" s="26">
        <v>-398</v>
      </c>
      <c r="E9" s="27">
        <v>5852</v>
      </c>
      <c r="F9" s="27">
        <v>4727</v>
      </c>
      <c r="G9" s="26">
        <v>494</v>
      </c>
      <c r="H9" s="27">
        <v>4512</v>
      </c>
      <c r="I9" s="26">
        <v>875</v>
      </c>
      <c r="J9" s="27">
        <v>-4150</v>
      </c>
      <c r="K9" s="27">
        <v>-4396</v>
      </c>
      <c r="L9" s="27">
        <v>-2194</v>
      </c>
      <c r="M9" s="27">
        <v>2760</v>
      </c>
      <c r="N9" s="27">
        <v>1153</v>
      </c>
    </row>
    <row r="10" spans="2:17" x14ac:dyDescent="0.3">
      <c r="B10" t="s">
        <v>92</v>
      </c>
      <c r="C10" s="27">
        <v>4157</v>
      </c>
      <c r="D10" s="27">
        <v>-3672</v>
      </c>
      <c r="E10" s="27">
        <v>1313</v>
      </c>
      <c r="F10" s="27">
        <v>3254</v>
      </c>
      <c r="G10" s="27">
        <v>-6434</v>
      </c>
      <c r="H10" s="27">
        <v>-7221</v>
      </c>
      <c r="I10" s="27">
        <v>5065</v>
      </c>
      <c r="J10" s="26">
        <v>-93</v>
      </c>
      <c r="K10" s="27">
        <v>-10750</v>
      </c>
      <c r="L10" s="27">
        <v>-3127</v>
      </c>
      <c r="M10" s="27">
        <v>7325</v>
      </c>
      <c r="N10" s="27">
        <v>8156</v>
      </c>
    </row>
    <row r="11" spans="2:17" x14ac:dyDescent="0.3">
      <c r="B11" t="s">
        <v>93</v>
      </c>
      <c r="C11" s="27">
        <v>-4308</v>
      </c>
      <c r="D11" s="27">
        <v>-4194</v>
      </c>
      <c r="E11" s="27">
        <v>-2040</v>
      </c>
      <c r="F11" s="27">
        <v>-1895</v>
      </c>
      <c r="G11" s="27">
        <v>-3021</v>
      </c>
      <c r="H11" s="27">
        <v>-2659</v>
      </c>
      <c r="I11" s="27">
        <v>-1785</v>
      </c>
      <c r="J11" s="27">
        <v>-2105</v>
      </c>
      <c r="K11" s="27">
        <v>-1910</v>
      </c>
      <c r="L11" s="27">
        <v>-3179</v>
      </c>
      <c r="M11" s="27">
        <v>-4516</v>
      </c>
      <c r="N11" s="27">
        <v>-3991</v>
      </c>
    </row>
    <row r="12" spans="2:17" x14ac:dyDescent="0.3">
      <c r="B12" s="8" t="s">
        <v>94</v>
      </c>
      <c r="C12" s="27">
        <v>-27991</v>
      </c>
      <c r="D12" s="27">
        <v>-36232</v>
      </c>
      <c r="E12" s="27">
        <v>-36694</v>
      </c>
      <c r="F12" s="27">
        <v>-39571</v>
      </c>
      <c r="G12" s="27">
        <v>-25139</v>
      </c>
      <c r="H12" s="27">
        <v>-20878</v>
      </c>
      <c r="I12" s="27">
        <v>-33115</v>
      </c>
      <c r="J12" s="27">
        <v>-25672</v>
      </c>
      <c r="K12" s="27">
        <v>-4444</v>
      </c>
      <c r="L12" s="27">
        <v>-15417</v>
      </c>
      <c r="M12" s="27">
        <v>-22781</v>
      </c>
      <c r="N12" s="27">
        <v>-49982</v>
      </c>
    </row>
    <row r="13" spans="2:17" x14ac:dyDescent="0.3">
      <c r="B13" t="s">
        <v>95</v>
      </c>
      <c r="C13" s="27">
        <v>-26975</v>
      </c>
      <c r="D13" s="27">
        <v>-31962</v>
      </c>
      <c r="E13" s="27">
        <v>-31503</v>
      </c>
      <c r="F13" s="27">
        <v>-16072</v>
      </c>
      <c r="G13" s="27">
        <v>-35079</v>
      </c>
      <c r="H13" s="27">
        <v>-35304</v>
      </c>
      <c r="I13" s="27">
        <v>-29702</v>
      </c>
      <c r="J13" s="27">
        <v>-20205</v>
      </c>
      <c r="K13" s="27">
        <v>-15168</v>
      </c>
      <c r="L13" s="27">
        <v>-19230</v>
      </c>
      <c r="M13" s="27">
        <v>-31414</v>
      </c>
      <c r="N13" s="27">
        <v>-38042</v>
      </c>
    </row>
    <row r="14" spans="2:17" x14ac:dyDescent="0.3">
      <c r="B14" t="s">
        <v>96</v>
      </c>
      <c r="C14" s="26">
        <v>50</v>
      </c>
      <c r="D14" s="26">
        <v>74</v>
      </c>
      <c r="E14" s="26">
        <v>59</v>
      </c>
      <c r="F14" s="26">
        <v>53</v>
      </c>
      <c r="G14" s="26">
        <v>30</v>
      </c>
      <c r="H14" s="26">
        <v>67</v>
      </c>
      <c r="I14" s="26">
        <v>171</v>
      </c>
      <c r="J14" s="26">
        <v>351</v>
      </c>
      <c r="K14" s="26">
        <v>230</v>
      </c>
      <c r="L14" s="26">
        <v>285</v>
      </c>
      <c r="M14" s="26">
        <v>231</v>
      </c>
      <c r="N14" s="26">
        <v>974</v>
      </c>
    </row>
    <row r="15" spans="2:17" x14ac:dyDescent="0.3">
      <c r="B15" t="s">
        <v>97</v>
      </c>
      <c r="C15" s="26">
        <v>-429</v>
      </c>
      <c r="D15" s="27">
        <v>-5461</v>
      </c>
      <c r="E15" s="27">
        <v>-4728</v>
      </c>
      <c r="F15" s="26">
        <v>-6</v>
      </c>
      <c r="G15" s="26">
        <v>-329</v>
      </c>
      <c r="H15" s="26">
        <v>-130</v>
      </c>
      <c r="I15" s="27">
        <v>-1439</v>
      </c>
      <c r="J15" s="27">
        <v>-7530</v>
      </c>
      <c r="K15" s="27">
        <v>-3008</v>
      </c>
      <c r="L15" s="26">
        <v>-50</v>
      </c>
      <c r="M15" s="26">
        <v>-74</v>
      </c>
      <c r="N15" s="27">
        <v>-12677</v>
      </c>
    </row>
    <row r="16" spans="2:17" x14ac:dyDescent="0.3">
      <c r="B16" t="s">
        <v>98</v>
      </c>
      <c r="C16" s="26">
        <v>4</v>
      </c>
      <c r="D16" s="26">
        <v>42</v>
      </c>
      <c r="E16" s="26">
        <v>89</v>
      </c>
      <c r="F16" s="27">
        <v>1965</v>
      </c>
      <c r="G16" s="27">
        <v>2381</v>
      </c>
      <c r="H16" s="27">
        <v>5644</v>
      </c>
      <c r="I16" s="26">
        <v>21</v>
      </c>
      <c r="J16" s="26">
        <v>226</v>
      </c>
      <c r="K16" s="26">
        <v>104</v>
      </c>
      <c r="L16" s="27">
        <v>6895</v>
      </c>
      <c r="M16" s="27">
        <v>10821</v>
      </c>
      <c r="N16" s="26">
        <v>111</v>
      </c>
    </row>
    <row r="17" spans="2:14" x14ac:dyDescent="0.3">
      <c r="B17" t="s">
        <v>99</v>
      </c>
      <c r="C17" s="26">
        <v>653</v>
      </c>
      <c r="D17" s="26">
        <v>698</v>
      </c>
      <c r="E17" s="26">
        <v>731</v>
      </c>
      <c r="F17" s="26">
        <v>638</v>
      </c>
      <c r="G17" s="26">
        <v>690</v>
      </c>
      <c r="H17" s="26">
        <v>761</v>
      </c>
      <c r="I17" s="27">
        <v>1104</v>
      </c>
      <c r="J17" s="26">
        <v>428</v>
      </c>
      <c r="K17" s="26">
        <v>653</v>
      </c>
      <c r="L17" s="26">
        <v>973</v>
      </c>
      <c r="M17" s="27">
        <v>2493</v>
      </c>
      <c r="N17" s="27">
        <v>2420</v>
      </c>
    </row>
    <row r="18" spans="2:14" x14ac:dyDescent="0.3">
      <c r="B18" t="s">
        <v>100</v>
      </c>
      <c r="C18" s="26">
        <v>40</v>
      </c>
      <c r="D18" s="26">
        <v>80</v>
      </c>
      <c r="E18" s="26">
        <v>58</v>
      </c>
      <c r="F18" s="26">
        <v>620</v>
      </c>
      <c r="G18" s="27">
        <v>1797</v>
      </c>
      <c r="H18" s="26">
        <v>232</v>
      </c>
      <c r="I18" s="26">
        <v>21</v>
      </c>
      <c r="J18" s="26">
        <v>18</v>
      </c>
      <c r="K18" s="26">
        <v>32</v>
      </c>
      <c r="L18" s="26">
        <v>46</v>
      </c>
      <c r="M18" s="26">
        <v>47</v>
      </c>
      <c r="N18" s="26">
        <v>64</v>
      </c>
    </row>
    <row r="19" spans="2:14" x14ac:dyDescent="0.3">
      <c r="B19" t="s">
        <v>101</v>
      </c>
      <c r="C19" s="26">
        <v>0</v>
      </c>
      <c r="D19" s="26">
        <v>-160</v>
      </c>
      <c r="E19" s="26">
        <v>0</v>
      </c>
      <c r="F19" s="26">
        <v>-107</v>
      </c>
      <c r="G19" s="26">
        <v>-4</v>
      </c>
      <c r="H19" s="26">
        <v>-9</v>
      </c>
      <c r="I19" s="26">
        <v>-606</v>
      </c>
      <c r="J19" s="26">
        <v>-10</v>
      </c>
      <c r="K19" s="26">
        <v>0</v>
      </c>
      <c r="L19" s="26">
        <v>0</v>
      </c>
      <c r="M19" s="26">
        <v>-150</v>
      </c>
      <c r="N19" s="26">
        <v>0</v>
      </c>
    </row>
    <row r="20" spans="2:14" x14ac:dyDescent="0.3">
      <c r="B20" t="s">
        <v>102</v>
      </c>
      <c r="C20" s="26">
        <v>0</v>
      </c>
      <c r="D20" s="26">
        <v>0</v>
      </c>
      <c r="E20" s="26">
        <v>0</v>
      </c>
      <c r="F20" s="26">
        <v>0</v>
      </c>
      <c r="G20" s="26">
        <v>14</v>
      </c>
      <c r="H20" s="26">
        <v>533</v>
      </c>
      <c r="I20" s="26">
        <v>0</v>
      </c>
      <c r="J20" s="26">
        <v>0</v>
      </c>
      <c r="K20" s="26">
        <v>0</v>
      </c>
      <c r="L20" s="26">
        <v>19</v>
      </c>
      <c r="M20" s="26">
        <v>107</v>
      </c>
      <c r="N20" s="26">
        <v>765</v>
      </c>
    </row>
    <row r="21" spans="2:14" x14ac:dyDescent="0.3">
      <c r="B21" t="s">
        <v>103</v>
      </c>
      <c r="C21" s="26">
        <v>-185</v>
      </c>
      <c r="D21" s="26">
        <v>0</v>
      </c>
      <c r="E21" s="26">
        <v>-111</v>
      </c>
      <c r="F21" s="26">
        <v>0</v>
      </c>
      <c r="G21" s="26">
        <v>0</v>
      </c>
      <c r="H21" s="26">
        <v>-8</v>
      </c>
      <c r="I21" s="26">
        <v>-27</v>
      </c>
      <c r="J21" s="26">
        <v>0</v>
      </c>
      <c r="K21" s="26">
        <v>-98</v>
      </c>
      <c r="L21" s="26">
        <v>0</v>
      </c>
      <c r="M21" s="26">
        <v>0</v>
      </c>
      <c r="N21" s="26">
        <v>-688</v>
      </c>
    </row>
    <row r="22" spans="2:14" x14ac:dyDescent="0.3">
      <c r="B22" t="s">
        <v>104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-25</v>
      </c>
      <c r="N22" s="26">
        <v>-20</v>
      </c>
    </row>
    <row r="23" spans="2:14" x14ac:dyDescent="0.3">
      <c r="B23" t="s">
        <v>105</v>
      </c>
      <c r="C23" s="27">
        <v>-1149</v>
      </c>
      <c r="D23" s="26">
        <v>456</v>
      </c>
      <c r="E23" s="27">
        <v>-1289</v>
      </c>
      <c r="F23" s="27">
        <v>-26663</v>
      </c>
      <c r="G23" s="27">
        <v>5360</v>
      </c>
      <c r="H23" s="27">
        <v>7335</v>
      </c>
      <c r="I23" s="27">
        <v>-2659</v>
      </c>
      <c r="J23" s="27">
        <v>1051</v>
      </c>
      <c r="K23" s="27">
        <v>12813</v>
      </c>
      <c r="L23" s="27">
        <v>-4357</v>
      </c>
      <c r="M23" s="27">
        <v>-4817</v>
      </c>
      <c r="N23" s="27">
        <v>-2889</v>
      </c>
    </row>
    <row r="24" spans="2:14" x14ac:dyDescent="0.3">
      <c r="B24" s="8" t="s">
        <v>106</v>
      </c>
      <c r="C24" s="27">
        <v>-3883</v>
      </c>
      <c r="D24" s="27">
        <v>5201</v>
      </c>
      <c r="E24" s="27">
        <v>-3795</v>
      </c>
      <c r="F24" s="27">
        <v>6205</v>
      </c>
      <c r="G24" s="27">
        <v>2012</v>
      </c>
      <c r="H24" s="27">
        <v>8830</v>
      </c>
      <c r="I24" s="27">
        <v>3390</v>
      </c>
      <c r="J24" s="27">
        <v>9904</v>
      </c>
      <c r="K24" s="27">
        <v>-3380</v>
      </c>
      <c r="L24" s="27">
        <v>-26243</v>
      </c>
      <c r="M24" s="27">
        <v>-37006</v>
      </c>
      <c r="N24" s="27">
        <v>-18786</v>
      </c>
    </row>
    <row r="25" spans="2:14" x14ac:dyDescent="0.3">
      <c r="B25" t="s">
        <v>107</v>
      </c>
      <c r="C25" s="26">
        <v>0</v>
      </c>
      <c r="D25" s="26">
        <v>0</v>
      </c>
      <c r="E25" s="27">
        <v>7433</v>
      </c>
      <c r="F25" s="26">
        <v>5</v>
      </c>
      <c r="G25" s="26">
        <v>0</v>
      </c>
      <c r="H25" s="26">
        <v>0</v>
      </c>
      <c r="I25" s="27">
        <v>3889</v>
      </c>
      <c r="J25" s="27">
        <v>2603</v>
      </c>
      <c r="K25" s="26">
        <v>19</v>
      </c>
      <c r="L25" s="26">
        <v>20</v>
      </c>
      <c r="M25" s="26">
        <v>82</v>
      </c>
      <c r="N25" s="27">
        <v>1108</v>
      </c>
    </row>
    <row r="26" spans="2:14" x14ac:dyDescent="0.3">
      <c r="B26" t="s">
        <v>108</v>
      </c>
      <c r="C26" s="26">
        <v>-658</v>
      </c>
      <c r="D26" s="26">
        <v>-744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</row>
    <row r="27" spans="2:14" x14ac:dyDescent="0.3">
      <c r="B27" t="s">
        <v>109</v>
      </c>
      <c r="C27" s="27">
        <v>33258</v>
      </c>
      <c r="D27" s="27">
        <v>36363</v>
      </c>
      <c r="E27" s="27">
        <v>19519</v>
      </c>
      <c r="F27" s="27">
        <v>33390</v>
      </c>
      <c r="G27" s="27">
        <v>37482</v>
      </c>
      <c r="H27" s="27">
        <v>51128</v>
      </c>
      <c r="I27" s="27">
        <v>38297</v>
      </c>
      <c r="J27" s="27">
        <v>46641</v>
      </c>
      <c r="K27" s="27">
        <v>46578</v>
      </c>
      <c r="L27" s="27">
        <v>43934</v>
      </c>
      <c r="M27" s="27">
        <v>18829</v>
      </c>
      <c r="N27" s="27">
        <v>13384</v>
      </c>
    </row>
    <row r="28" spans="2:14" x14ac:dyDescent="0.3">
      <c r="B28" t="s">
        <v>110</v>
      </c>
      <c r="C28" s="27">
        <v>-29141</v>
      </c>
      <c r="D28" s="27">
        <v>-23332</v>
      </c>
      <c r="E28" s="27">
        <v>-24924</v>
      </c>
      <c r="F28" s="27">
        <v>-21732</v>
      </c>
      <c r="G28" s="27">
        <v>-29964</v>
      </c>
      <c r="H28" s="27">
        <v>-35198</v>
      </c>
      <c r="I28" s="27">
        <v>-29847</v>
      </c>
      <c r="J28" s="27">
        <v>-29709</v>
      </c>
      <c r="K28" s="27">
        <v>-42816</v>
      </c>
      <c r="L28" s="27">
        <v>-62557</v>
      </c>
      <c r="M28" s="27">
        <v>-47414</v>
      </c>
      <c r="N28" s="27">
        <v>-21443</v>
      </c>
    </row>
    <row r="29" spans="2:14" x14ac:dyDescent="0.3">
      <c r="B29" t="s">
        <v>111</v>
      </c>
      <c r="C29" s="27">
        <v>-6171</v>
      </c>
      <c r="D29" s="27">
        <v>-6307</v>
      </c>
      <c r="E29" s="27">
        <v>-5716</v>
      </c>
      <c r="F29" s="27">
        <v>-5336</v>
      </c>
      <c r="G29" s="27">
        <v>-5411</v>
      </c>
      <c r="H29" s="27">
        <v>-7005</v>
      </c>
      <c r="I29" s="27">
        <v>-7518</v>
      </c>
      <c r="J29" s="27">
        <v>-8123</v>
      </c>
      <c r="K29" s="27">
        <v>-9251</v>
      </c>
      <c r="L29" s="27">
        <v>-9336</v>
      </c>
      <c r="M29" s="27">
        <v>-9332</v>
      </c>
      <c r="N29" s="27">
        <v>-5814</v>
      </c>
    </row>
    <row r="30" spans="2:14" x14ac:dyDescent="0.3">
      <c r="B30" t="s">
        <v>112</v>
      </c>
      <c r="C30" s="26">
        <v>-722</v>
      </c>
      <c r="D30" s="26">
        <v>-720</v>
      </c>
      <c r="E30" s="26">
        <v>-108</v>
      </c>
      <c r="F30" s="26">
        <v>-121</v>
      </c>
      <c r="G30" s="26">
        <v>-96</v>
      </c>
      <c r="H30" s="26">
        <v>-95</v>
      </c>
      <c r="I30" s="26">
        <v>-57</v>
      </c>
      <c r="J30" s="26">
        <v>-30</v>
      </c>
      <c r="K30" s="26">
        <v>-100</v>
      </c>
      <c r="L30" s="26">
        <v>-141</v>
      </c>
      <c r="M30" s="27">
        <v>-1059</v>
      </c>
      <c r="N30" s="27">
        <v>-2492</v>
      </c>
    </row>
    <row r="31" spans="2:14" x14ac:dyDescent="0.3">
      <c r="B31" t="s">
        <v>113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7">
        <v>-1346</v>
      </c>
      <c r="J31" s="27">
        <v>-1477</v>
      </c>
      <c r="K31" s="27">
        <v>-1559</v>
      </c>
      <c r="L31" s="27">
        <v>-1517</v>
      </c>
      <c r="M31" s="27">
        <v>-1924</v>
      </c>
      <c r="N31" s="27">
        <v>-2393</v>
      </c>
    </row>
    <row r="32" spans="2:14" x14ac:dyDescent="0.3">
      <c r="B32" t="s">
        <v>114</v>
      </c>
      <c r="C32" s="26">
        <v>-450</v>
      </c>
      <c r="D32" s="26">
        <v>-57</v>
      </c>
      <c r="E32" s="26">
        <v>0</v>
      </c>
      <c r="F32" s="26">
        <v>0</v>
      </c>
      <c r="G32" s="26">
        <v>0</v>
      </c>
      <c r="H32" s="26">
        <v>0</v>
      </c>
      <c r="I32" s="26">
        <v>-29</v>
      </c>
      <c r="J32" s="26">
        <v>0</v>
      </c>
      <c r="K32" s="27">
        <v>3750</v>
      </c>
      <c r="L32" s="27">
        <v>3355</v>
      </c>
      <c r="M32" s="27">
        <v>3812</v>
      </c>
      <c r="N32" s="27">
        <v>-1136</v>
      </c>
    </row>
    <row r="33" spans="2:14" x14ac:dyDescent="0.3">
      <c r="B33" t="s">
        <v>21</v>
      </c>
      <c r="C33" s="27">
        <v>4277</v>
      </c>
      <c r="D33" s="27">
        <v>4500</v>
      </c>
      <c r="E33" s="27">
        <v>-2589</v>
      </c>
      <c r="F33" s="27">
        <v>-3167</v>
      </c>
      <c r="G33" s="26">
        <v>730</v>
      </c>
      <c r="H33" s="27">
        <v>6843</v>
      </c>
      <c r="I33" s="27">
        <v>-3092</v>
      </c>
      <c r="J33" s="27">
        <v>13232</v>
      </c>
      <c r="K33" s="27">
        <v>6459</v>
      </c>
      <c r="L33" s="27">
        <v>-6272</v>
      </c>
      <c r="M33" s="27">
        <v>8128</v>
      </c>
      <c r="N33" s="27">
        <v>-5666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" activePane="bottomRight" state="frozen"/>
      <selection activeCell="B78" sqref="B78"/>
      <selection pane="topRight" activeCell="B78" sqref="B78"/>
      <selection pane="bottomLeft" activeCell="B78" sqref="B78"/>
      <selection pane="bottomRight" activeCell="F94" sqref="F94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33</v>
      </c>
      <c r="E1" s="199" t="s">
        <v>56</v>
      </c>
      <c r="F1" s="199"/>
      <c r="G1" s="199"/>
      <c r="H1" s="199"/>
      <c r="I1" s="199"/>
      <c r="J1" s="199"/>
      <c r="K1" s="199"/>
    </row>
    <row r="2" spans="1:11" x14ac:dyDescent="0.3">
      <c r="A2" s="1" t="s">
        <v>31</v>
      </c>
      <c r="B2" s="2">
        <v>2.1</v>
      </c>
      <c r="E2" s="200" t="s">
        <v>22</v>
      </c>
      <c r="F2" s="200"/>
      <c r="G2" s="200"/>
      <c r="H2" s="200"/>
      <c r="I2" s="200"/>
      <c r="J2" s="200"/>
      <c r="K2" s="200"/>
    </row>
    <row r="3" spans="1:11" x14ac:dyDescent="0.3">
      <c r="A3" s="1" t="s">
        <v>32</v>
      </c>
      <c r="B3" s="2">
        <v>2.1</v>
      </c>
    </row>
    <row r="4" spans="1:11" x14ac:dyDescent="0.3">
      <c r="A4" s="1"/>
    </row>
    <row r="5" spans="1:11" x14ac:dyDescent="0.3">
      <c r="A5" s="1" t="s">
        <v>34</v>
      </c>
    </row>
    <row r="6" spans="1:11" x14ac:dyDescent="0.3">
      <c r="A6" s="2" t="s">
        <v>28</v>
      </c>
      <c r="B6" s="2">
        <f>IF(B9&gt;0, B9/B8, 0)</f>
        <v>368.22742006777662</v>
      </c>
    </row>
    <row r="7" spans="1:11" x14ac:dyDescent="0.3">
      <c r="A7" s="2" t="s">
        <v>17</v>
      </c>
      <c r="B7">
        <v>2</v>
      </c>
    </row>
    <row r="8" spans="1:11" x14ac:dyDescent="0.3">
      <c r="A8" s="2" t="s">
        <v>29</v>
      </c>
      <c r="B8">
        <v>678.7</v>
      </c>
    </row>
    <row r="9" spans="1:11" x14ac:dyDescent="0.3">
      <c r="A9" s="2" t="s">
        <v>44</v>
      </c>
      <c r="B9">
        <v>249915.95</v>
      </c>
    </row>
    <row r="15" spans="1:11" x14ac:dyDescent="0.3">
      <c r="A15" s="1" t="s">
        <v>23</v>
      </c>
    </row>
    <row r="16" spans="1:11" s="6" customFormat="1" x14ac:dyDescent="0.3">
      <c r="A16" s="5" t="s">
        <v>24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3" customFormat="1" x14ac:dyDescent="0.3">
      <c r="A18" s="2" t="s">
        <v>45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3" customFormat="1" x14ac:dyDescent="0.3">
      <c r="A19" s="2" t="s">
        <v>46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3" customFormat="1" x14ac:dyDescent="0.3">
      <c r="A20" s="2" t="s">
        <v>47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3" customFormat="1" x14ac:dyDescent="0.3">
      <c r="A21" s="2" t="s">
        <v>48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3" customFormat="1" x14ac:dyDescent="0.3">
      <c r="A22" s="2" t="s">
        <v>49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3" customFormat="1" x14ac:dyDescent="0.3">
      <c r="A23" s="2" t="s">
        <v>50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3" customFormat="1" x14ac:dyDescent="0.3">
      <c r="A24" s="2" t="s">
        <v>51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3" customFormat="1" x14ac:dyDescent="0.3">
      <c r="A25" s="3" t="s">
        <v>4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3" customFormat="1" x14ac:dyDescent="0.3">
      <c r="A26" s="3" t="s">
        <v>5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3" customFormat="1" x14ac:dyDescent="0.3">
      <c r="A27" s="3" t="s">
        <v>6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3" customFormat="1" x14ac:dyDescent="0.3">
      <c r="A28" s="3" t="s">
        <v>7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3" customFormat="1" x14ac:dyDescent="0.3">
      <c r="A29" s="3" t="s">
        <v>8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3" customFormat="1" x14ac:dyDescent="0.3">
      <c r="A30" s="3" t="s">
        <v>9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3" customFormat="1" x14ac:dyDescent="0.3">
      <c r="A31" s="3" t="s">
        <v>35</v>
      </c>
      <c r="B31">
        <v>67.92</v>
      </c>
      <c r="I31">
        <v>766.02</v>
      </c>
      <c r="J31">
        <v>2301</v>
      </c>
      <c r="K31">
        <v>2208</v>
      </c>
    </row>
    <row r="32" spans="1:11" s="3" customFormat="1" x14ac:dyDescent="0.3"/>
    <row r="33" spans="1:11" x14ac:dyDescent="0.3">
      <c r="A33" s="3"/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25</v>
      </c>
    </row>
    <row r="41" spans="1:11" s="6" customFormat="1" x14ac:dyDescent="0.3">
      <c r="A41" s="5" t="s">
        <v>24</v>
      </c>
      <c r="B41" s="4">
        <v>45016</v>
      </c>
      <c r="C41" s="4">
        <v>45107</v>
      </c>
      <c r="D41" s="4">
        <v>45199</v>
      </c>
      <c r="E41" s="4">
        <v>45291</v>
      </c>
      <c r="F41" s="4">
        <v>45382</v>
      </c>
      <c r="G41" s="4">
        <v>45473</v>
      </c>
      <c r="H41" s="4">
        <v>45565</v>
      </c>
      <c r="I41" s="4">
        <v>45657</v>
      </c>
      <c r="J41" s="4">
        <v>45747</v>
      </c>
      <c r="K41" s="4">
        <v>45838</v>
      </c>
    </row>
    <row r="42" spans="1:11" s="3" customFormat="1" x14ac:dyDescent="0.3">
      <c r="A42" s="3" t="s">
        <v>1</v>
      </c>
      <c r="B42">
        <v>105932.35</v>
      </c>
      <c r="C42">
        <v>102236</v>
      </c>
      <c r="D42">
        <v>105129</v>
      </c>
      <c r="E42">
        <v>110577</v>
      </c>
      <c r="F42">
        <v>119033</v>
      </c>
      <c r="G42">
        <v>107102</v>
      </c>
      <c r="H42">
        <v>101450</v>
      </c>
      <c r="I42">
        <v>112608</v>
      </c>
      <c r="J42">
        <v>119503</v>
      </c>
      <c r="K42">
        <v>104407</v>
      </c>
    </row>
    <row r="43" spans="1:11" s="3" customFormat="1" x14ac:dyDescent="0.3">
      <c r="A43" s="3" t="s">
        <v>2</v>
      </c>
      <c r="B43">
        <v>92817.95</v>
      </c>
      <c r="C43">
        <v>89019</v>
      </c>
      <c r="D43">
        <v>91362</v>
      </c>
      <c r="E43">
        <v>95159</v>
      </c>
      <c r="F43">
        <v>102348</v>
      </c>
      <c r="G43">
        <v>91854</v>
      </c>
      <c r="H43">
        <v>89291</v>
      </c>
      <c r="I43">
        <v>100185</v>
      </c>
      <c r="J43">
        <v>102685</v>
      </c>
      <c r="K43">
        <v>94183</v>
      </c>
    </row>
    <row r="44" spans="1:11" s="3" customFormat="1" x14ac:dyDescent="0.3">
      <c r="A44" s="3" t="s">
        <v>4</v>
      </c>
      <c r="B44">
        <v>1452.86</v>
      </c>
      <c r="C44">
        <v>895</v>
      </c>
      <c r="D44">
        <v>1557</v>
      </c>
      <c r="E44">
        <v>1604</v>
      </c>
      <c r="F44">
        <v>1412</v>
      </c>
      <c r="G44">
        <v>6553</v>
      </c>
      <c r="H44">
        <v>1647</v>
      </c>
      <c r="I44">
        <v>1700</v>
      </c>
      <c r="J44">
        <v>1057</v>
      </c>
      <c r="K44">
        <v>1595</v>
      </c>
    </row>
    <row r="45" spans="1:11" s="3" customFormat="1" x14ac:dyDescent="0.3">
      <c r="A45" s="3" t="s">
        <v>5</v>
      </c>
      <c r="B45">
        <v>7050.2</v>
      </c>
      <c r="C45">
        <v>6633</v>
      </c>
      <c r="D45">
        <v>6637</v>
      </c>
      <c r="E45">
        <v>6850</v>
      </c>
      <c r="F45">
        <v>7143</v>
      </c>
      <c r="G45">
        <v>6565</v>
      </c>
      <c r="H45">
        <v>6005</v>
      </c>
      <c r="I45">
        <v>5399</v>
      </c>
      <c r="J45">
        <v>5295</v>
      </c>
      <c r="K45">
        <v>5320</v>
      </c>
    </row>
    <row r="46" spans="1:11" s="3" customFormat="1" x14ac:dyDescent="0.3">
      <c r="A46" s="3" t="s">
        <v>6</v>
      </c>
      <c r="B46">
        <v>2641.67</v>
      </c>
      <c r="C46">
        <v>2615</v>
      </c>
      <c r="D46">
        <v>2652</v>
      </c>
      <c r="E46">
        <v>2485</v>
      </c>
      <c r="F46">
        <v>1645</v>
      </c>
      <c r="G46">
        <v>1471</v>
      </c>
      <c r="H46">
        <v>2034</v>
      </c>
      <c r="I46">
        <v>1119</v>
      </c>
      <c r="J46">
        <v>1076</v>
      </c>
      <c r="K46">
        <v>938</v>
      </c>
    </row>
    <row r="47" spans="1:11" s="3" customFormat="1" x14ac:dyDescent="0.3">
      <c r="A47" s="3" t="s">
        <v>7</v>
      </c>
      <c r="B47">
        <v>4875.3900000000003</v>
      </c>
      <c r="C47">
        <v>4864</v>
      </c>
      <c r="D47">
        <v>6035</v>
      </c>
      <c r="E47">
        <v>7687</v>
      </c>
      <c r="F47">
        <v>9309</v>
      </c>
      <c r="G47">
        <v>13765</v>
      </c>
      <c r="H47">
        <v>5767</v>
      </c>
      <c r="I47">
        <v>7605</v>
      </c>
      <c r="J47">
        <v>11504</v>
      </c>
      <c r="K47">
        <v>5561</v>
      </c>
    </row>
    <row r="48" spans="1:11" s="3" customFormat="1" x14ac:dyDescent="0.3">
      <c r="A48" s="3" t="s">
        <v>8</v>
      </c>
      <c r="B48">
        <v>-620.65</v>
      </c>
      <c r="C48">
        <v>1563</v>
      </c>
      <c r="D48">
        <v>2203</v>
      </c>
      <c r="E48">
        <v>542</v>
      </c>
      <c r="F48">
        <v>-8219</v>
      </c>
      <c r="G48">
        <v>3178</v>
      </c>
      <c r="H48">
        <v>2317</v>
      </c>
      <c r="I48">
        <v>2120</v>
      </c>
      <c r="J48">
        <v>2948</v>
      </c>
      <c r="K48">
        <v>1558</v>
      </c>
    </row>
    <row r="49" spans="1:11" s="3" customFormat="1" x14ac:dyDescent="0.3">
      <c r="A49" s="3" t="s">
        <v>9</v>
      </c>
      <c r="B49">
        <v>5407.79</v>
      </c>
      <c r="C49">
        <v>3203</v>
      </c>
      <c r="D49">
        <v>3764</v>
      </c>
      <c r="E49">
        <v>7025</v>
      </c>
      <c r="F49">
        <v>17407</v>
      </c>
      <c r="G49">
        <v>10514</v>
      </c>
      <c r="H49">
        <v>3343</v>
      </c>
      <c r="I49">
        <v>5406</v>
      </c>
      <c r="J49">
        <v>8470</v>
      </c>
      <c r="K49">
        <v>3924</v>
      </c>
    </row>
    <row r="50" spans="1:11" x14ac:dyDescent="0.3">
      <c r="A50" s="3" t="s">
        <v>3</v>
      </c>
      <c r="B50">
        <v>13114.4</v>
      </c>
      <c r="C50">
        <v>13217</v>
      </c>
      <c r="D50">
        <v>13767</v>
      </c>
      <c r="E50">
        <v>15418</v>
      </c>
      <c r="F50">
        <v>16685</v>
      </c>
      <c r="G50">
        <v>15248</v>
      </c>
      <c r="H50">
        <v>12159</v>
      </c>
      <c r="I50">
        <v>12423</v>
      </c>
      <c r="J50">
        <v>16818</v>
      </c>
      <c r="K50">
        <v>10224</v>
      </c>
    </row>
    <row r="51" spans="1:11" x14ac:dyDescent="0.3">
      <c r="A51" s="3"/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26</v>
      </c>
    </row>
    <row r="56" spans="1:11" s="6" customFormat="1" x14ac:dyDescent="0.3">
      <c r="A56" s="5" t="s">
        <v>24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3" t="s">
        <v>12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3" t="s">
        <v>36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3" t="s">
        <v>37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13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3" t="s">
        <v>14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3" t="s">
        <v>15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3" t="s">
        <v>16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3" t="s">
        <v>38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13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3" customFormat="1" x14ac:dyDescent="0.3">
      <c r="A67" s="3" t="s">
        <v>43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3" t="s">
        <v>30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2" t="s">
        <v>52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2" t="s">
        <v>39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2" t="s">
        <v>40</v>
      </c>
    </row>
    <row r="72" spans="1:11" x14ac:dyDescent="0.3">
      <c r="A72" s="2" t="s">
        <v>53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3"/>
    </row>
    <row r="75" spans="1:11" x14ac:dyDescent="0.3">
      <c r="A75" s="3" t="s">
        <v>274</v>
      </c>
      <c r="B75" s="2">
        <f>B65-SUM(B67:B69)</f>
        <v>29579.359999999986</v>
      </c>
      <c r="C75" s="2">
        <f t="shared" ref="C75:K75" si="0">C65-SUM(C67:C69)</f>
        <v>37360.780000000013</v>
      </c>
      <c r="D75" s="2">
        <f t="shared" si="0"/>
        <v>48286.860000000015</v>
      </c>
      <c r="E75" s="2">
        <f t="shared" si="0"/>
        <v>56155.739999999991</v>
      </c>
      <c r="F75" s="2">
        <f t="shared" si="0"/>
        <v>58784.94</v>
      </c>
      <c r="G75" s="2">
        <f t="shared" si="0"/>
        <v>61717.959999999992</v>
      </c>
      <c r="H75" s="2">
        <f t="shared" si="0"/>
        <v>62223.770000000019</v>
      </c>
      <c r="I75" s="2">
        <f t="shared" si="0"/>
        <v>68432.090000000011</v>
      </c>
      <c r="J75" s="2">
        <f t="shared" si="0"/>
        <v>79020</v>
      </c>
      <c r="K75" s="2">
        <f t="shared" si="0"/>
        <v>58463</v>
      </c>
    </row>
    <row r="76" spans="1:11" x14ac:dyDescent="0.3">
      <c r="A76" s="3" t="s">
        <v>272</v>
      </c>
      <c r="B76" s="2">
        <f>SUM(B62:B64,B75,B67:B69)</f>
        <v>263184.12</v>
      </c>
      <c r="C76" s="2">
        <f>SUM(C62:C64,C75,C67:C69)</f>
        <v>272580.36</v>
      </c>
      <c r="D76" s="2">
        <f t="shared" ref="D76:K76" si="1">SUM(D62:D64,D75,D67:D69)</f>
        <v>327191.80999999994</v>
      </c>
      <c r="E76" s="2">
        <f t="shared" si="1"/>
        <v>305703.49</v>
      </c>
      <c r="F76" s="2">
        <f t="shared" si="1"/>
        <v>320179.39</v>
      </c>
      <c r="G76" s="2">
        <f t="shared" si="1"/>
        <v>341569.91</v>
      </c>
      <c r="H76" s="2">
        <f t="shared" si="1"/>
        <v>329061.49000000005</v>
      </c>
      <c r="I76" s="2">
        <f t="shared" si="1"/>
        <v>334674.43</v>
      </c>
      <c r="J76" s="2">
        <f t="shared" si="1"/>
        <v>369521</v>
      </c>
      <c r="K76" s="2">
        <f t="shared" si="1"/>
        <v>376973</v>
      </c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27</v>
      </c>
    </row>
    <row r="81" spans="1:11" s="6" customFormat="1" x14ac:dyDescent="0.3">
      <c r="A81" s="5" t="s">
        <v>24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3" t="s">
        <v>18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3" customFormat="1" x14ac:dyDescent="0.3">
      <c r="A83" s="3" t="s">
        <v>19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3" customFormat="1" x14ac:dyDescent="0.3">
      <c r="A84" s="3" t="s">
        <v>20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3" t="s">
        <v>21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42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">
      <c r="A92" s="1" t="s">
        <v>41</v>
      </c>
    </row>
    <row r="93" spans="1:11" x14ac:dyDescent="0.3">
      <c r="A93" s="2" t="s">
        <v>54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7684-8DC0-47C4-B135-F49C59E6DE44}">
  <dimension ref="B2:O121"/>
  <sheetViews>
    <sheetView showGridLines="0" workbookViewId="0">
      <selection activeCell="C113" sqref="C113"/>
    </sheetView>
  </sheetViews>
  <sheetFormatPr defaultRowHeight="14.4" x14ac:dyDescent="0.3"/>
  <cols>
    <col min="2" max="2" width="25.77734375" bestFit="1" customWidth="1"/>
    <col min="3" max="14" width="10.77734375" style="139" customWidth="1"/>
    <col min="15" max="15" width="8.77734375" customWidth="1"/>
  </cols>
  <sheetData>
    <row r="2" spans="2:15" x14ac:dyDescent="0.3">
      <c r="B2" s="9" t="s">
        <v>307</v>
      </c>
      <c r="C2" s="140">
        <v>41699</v>
      </c>
      <c r="D2" s="140">
        <v>42064</v>
      </c>
      <c r="E2" s="140">
        <v>42430</v>
      </c>
      <c r="F2" s="140">
        <v>42795</v>
      </c>
      <c r="G2" s="140">
        <v>43160</v>
      </c>
      <c r="H2" s="140">
        <v>43525</v>
      </c>
      <c r="I2" s="140">
        <v>43891</v>
      </c>
      <c r="J2" s="140">
        <v>44256</v>
      </c>
      <c r="K2" s="140">
        <v>44621</v>
      </c>
      <c r="L2" s="140">
        <v>44986</v>
      </c>
      <c r="M2" s="140">
        <v>45352</v>
      </c>
      <c r="N2" s="140">
        <v>45717</v>
      </c>
    </row>
    <row r="3" spans="2:15" s="25" customFormat="1" x14ac:dyDescent="0.3"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</row>
    <row r="4" spans="2:15" x14ac:dyDescent="0.3">
      <c r="B4" s="141" t="s">
        <v>275</v>
      </c>
      <c r="C4" s="142">
        <v>96</v>
      </c>
      <c r="D4" s="142">
        <v>96</v>
      </c>
      <c r="E4" s="142">
        <v>96</v>
      </c>
      <c r="F4" s="142">
        <v>96</v>
      </c>
      <c r="G4" s="142">
        <v>96</v>
      </c>
      <c r="H4" s="142">
        <v>96</v>
      </c>
      <c r="I4" s="142">
        <v>96</v>
      </c>
      <c r="J4" s="142">
        <v>96</v>
      </c>
      <c r="K4" s="142">
        <v>96</v>
      </c>
      <c r="L4" s="142">
        <v>96</v>
      </c>
      <c r="M4" s="142">
        <v>96</v>
      </c>
      <c r="N4" s="142">
        <v>96</v>
      </c>
    </row>
    <row r="5" spans="2:15" x14ac:dyDescent="0.3">
      <c r="B5" s="141" t="s">
        <v>12</v>
      </c>
      <c r="C5" s="143">
        <v>3943</v>
      </c>
      <c r="D5" s="143">
        <v>4646</v>
      </c>
      <c r="E5" s="143">
        <v>6429</v>
      </c>
      <c r="F5" s="143">
        <v>7508</v>
      </c>
      <c r="G5" s="143">
        <v>8314</v>
      </c>
      <c r="H5" s="143">
        <v>9375</v>
      </c>
      <c r="I5" s="143">
        <v>10034</v>
      </c>
      <c r="J5" s="143">
        <v>12710</v>
      </c>
      <c r="K5" s="143">
        <v>13716</v>
      </c>
      <c r="L5" s="143">
        <v>15896</v>
      </c>
      <c r="M5" s="143">
        <v>18632</v>
      </c>
      <c r="N5" s="143">
        <v>19304</v>
      </c>
    </row>
    <row r="6" spans="2:15" x14ac:dyDescent="0.3">
      <c r="B6" s="141" t="s">
        <v>276</v>
      </c>
      <c r="C6" s="144"/>
      <c r="D6" s="144"/>
      <c r="E6" s="144"/>
      <c r="F6" s="144"/>
      <c r="G6" s="144"/>
      <c r="H6" s="145"/>
      <c r="I6" s="145"/>
      <c r="J6" s="145"/>
      <c r="K6" s="145"/>
      <c r="L6" s="145"/>
      <c r="M6" s="145"/>
      <c r="N6" s="145"/>
    </row>
    <row r="7" spans="2:15" x14ac:dyDescent="0.3">
      <c r="B7" s="146" t="s">
        <v>277</v>
      </c>
      <c r="C7" s="144">
        <v>41</v>
      </c>
      <c r="D7" s="144">
        <v>78</v>
      </c>
      <c r="E7" s="144">
        <v>73</v>
      </c>
      <c r="F7" s="144">
        <v>41</v>
      </c>
      <c r="G7" s="144">
        <v>28</v>
      </c>
      <c r="H7" s="144">
        <v>19</v>
      </c>
      <c r="I7" s="144">
        <v>19</v>
      </c>
      <c r="J7" s="144">
        <v>15</v>
      </c>
      <c r="K7" s="144">
        <v>45</v>
      </c>
      <c r="L7" s="144">
        <v>76</v>
      </c>
      <c r="M7" s="144">
        <v>54</v>
      </c>
      <c r="N7" s="144">
        <v>260</v>
      </c>
    </row>
    <row r="8" spans="2:15" x14ac:dyDescent="0.3">
      <c r="B8" s="146" t="s">
        <v>278</v>
      </c>
      <c r="C8" s="144">
        <v>199</v>
      </c>
      <c r="D8" s="144">
        <v>332</v>
      </c>
      <c r="E8" s="144">
        <v>231</v>
      </c>
      <c r="F8" s="144">
        <v>504</v>
      </c>
      <c r="G8" s="144">
        <v>492</v>
      </c>
      <c r="H8" s="144">
        <v>597</v>
      </c>
      <c r="I8" s="144">
        <v>321</v>
      </c>
      <c r="J8" s="144">
        <v>334</v>
      </c>
      <c r="K8" s="144">
        <v>731</v>
      </c>
      <c r="L8" s="144">
        <v>896</v>
      </c>
      <c r="M8" s="145">
        <v>1053</v>
      </c>
      <c r="N8" s="144">
        <v>604</v>
      </c>
    </row>
    <row r="9" spans="2:15" x14ac:dyDescent="0.3">
      <c r="B9" s="146" t="s">
        <v>279</v>
      </c>
      <c r="C9" s="144">
        <v>0</v>
      </c>
      <c r="D9" s="144">
        <v>0</v>
      </c>
      <c r="E9" s="144">
        <v>0</v>
      </c>
      <c r="F9" s="144">
        <v>0</v>
      </c>
      <c r="G9" s="144">
        <v>0</v>
      </c>
      <c r="H9" s="144">
        <v>693</v>
      </c>
      <c r="I9" s="144">
        <v>764</v>
      </c>
      <c r="J9" s="144">
        <v>745</v>
      </c>
      <c r="K9" s="144">
        <v>811</v>
      </c>
      <c r="L9" s="144">
        <v>960</v>
      </c>
      <c r="M9" s="145">
        <v>1367</v>
      </c>
      <c r="N9" s="145">
        <v>1427</v>
      </c>
    </row>
    <row r="10" spans="2:15" x14ac:dyDescent="0.3">
      <c r="B10" s="146" t="s">
        <v>280</v>
      </c>
      <c r="C10" s="144">
        <v>9</v>
      </c>
      <c r="D10" s="144">
        <v>8</v>
      </c>
      <c r="E10" s="144">
        <v>20</v>
      </c>
      <c r="F10" s="144">
        <v>15</v>
      </c>
      <c r="G10" s="144">
        <v>13</v>
      </c>
      <c r="H10" s="144">
        <v>11</v>
      </c>
      <c r="I10" s="144">
        <v>15</v>
      </c>
      <c r="J10" s="144">
        <v>0</v>
      </c>
      <c r="K10" s="144">
        <v>0</v>
      </c>
      <c r="L10" s="144">
        <v>0</v>
      </c>
      <c r="M10" s="144">
        <v>0</v>
      </c>
      <c r="N10" s="144">
        <v>0</v>
      </c>
    </row>
    <row r="11" spans="2:15" x14ac:dyDescent="0.3">
      <c r="B11" s="141" t="s">
        <v>281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spans="2:15" x14ac:dyDescent="0.3">
      <c r="B12" s="146" t="s">
        <v>282</v>
      </c>
      <c r="C12" s="144">
        <v>246</v>
      </c>
      <c r="D12" s="144">
        <v>264</v>
      </c>
      <c r="E12" s="144">
        <v>384</v>
      </c>
      <c r="F12" s="144">
        <v>375</v>
      </c>
      <c r="G12" s="144">
        <v>328</v>
      </c>
      <c r="H12" s="144">
        <v>361</v>
      </c>
      <c r="I12" s="144">
        <v>404</v>
      </c>
      <c r="J12" s="144">
        <v>423</v>
      </c>
      <c r="K12" s="144">
        <v>388</v>
      </c>
      <c r="L12" s="144">
        <v>454</v>
      </c>
      <c r="M12" s="144">
        <v>695</v>
      </c>
      <c r="N12" s="144">
        <v>659</v>
      </c>
      <c r="O12" s="8" t="s">
        <v>314</v>
      </c>
    </row>
    <row r="13" spans="2:15" x14ac:dyDescent="0.3">
      <c r="B13" s="146" t="s">
        <v>283</v>
      </c>
      <c r="C13" s="145">
        <v>1746</v>
      </c>
      <c r="D13" s="145">
        <v>1549</v>
      </c>
      <c r="E13" s="145">
        <v>1565</v>
      </c>
      <c r="F13" s="145">
        <v>1923</v>
      </c>
      <c r="G13" s="145">
        <v>2160</v>
      </c>
      <c r="H13" s="145">
        <v>2394</v>
      </c>
      <c r="I13" s="145">
        <v>2137</v>
      </c>
      <c r="J13" s="145">
        <v>3379</v>
      </c>
      <c r="K13" s="145">
        <v>4164</v>
      </c>
      <c r="L13" s="145">
        <v>3635</v>
      </c>
      <c r="M13" s="145">
        <v>3831</v>
      </c>
      <c r="N13" s="145">
        <v>3848</v>
      </c>
    </row>
    <row r="14" spans="2:15" x14ac:dyDescent="0.3">
      <c r="B14" s="146" t="s">
        <v>284</v>
      </c>
      <c r="C14" s="144">
        <v>0</v>
      </c>
      <c r="D14" s="144">
        <v>5</v>
      </c>
      <c r="E14" s="144">
        <v>12</v>
      </c>
      <c r="F14" s="144">
        <v>17</v>
      </c>
      <c r="G14" s="144">
        <v>16</v>
      </c>
      <c r="H14" s="144">
        <v>13</v>
      </c>
      <c r="I14" s="144">
        <v>29</v>
      </c>
      <c r="J14" s="144">
        <v>41</v>
      </c>
      <c r="K14" s="144">
        <v>76</v>
      </c>
      <c r="L14" s="144">
        <v>108</v>
      </c>
      <c r="M14" s="144">
        <v>154</v>
      </c>
      <c r="N14" s="144">
        <v>173</v>
      </c>
    </row>
    <row r="15" spans="2:15" x14ac:dyDescent="0.3">
      <c r="B15" s="146" t="s">
        <v>285</v>
      </c>
      <c r="C15" s="145">
        <v>1795</v>
      </c>
      <c r="D15" s="145">
        <v>1937</v>
      </c>
      <c r="E15" s="145">
        <v>1750</v>
      </c>
      <c r="F15" s="145">
        <v>1925</v>
      </c>
      <c r="G15" s="145">
        <v>2316</v>
      </c>
      <c r="H15" s="145">
        <v>2690</v>
      </c>
      <c r="I15" s="145">
        <v>2320</v>
      </c>
      <c r="J15" s="145">
        <v>2613</v>
      </c>
      <c r="K15" s="145">
        <v>2932</v>
      </c>
      <c r="L15" s="145">
        <v>3657</v>
      </c>
      <c r="M15" s="145">
        <v>4017</v>
      </c>
      <c r="N15" s="145">
        <v>3985</v>
      </c>
    </row>
    <row r="16" spans="2:15" x14ac:dyDescent="0.3"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</row>
    <row r="17" spans="2:14" ht="15" thickBot="1" x14ac:dyDescent="0.35">
      <c r="B17" s="147" t="s">
        <v>81</v>
      </c>
      <c r="C17" s="148">
        <v>8075</v>
      </c>
      <c r="D17" s="148">
        <v>8914</v>
      </c>
      <c r="E17" s="148">
        <v>10559</v>
      </c>
      <c r="F17" s="148">
        <v>12405</v>
      </c>
      <c r="G17" s="148">
        <v>13763</v>
      </c>
      <c r="H17" s="148">
        <v>16249</v>
      </c>
      <c r="I17" s="148">
        <v>16138</v>
      </c>
      <c r="J17" s="148">
        <v>20355</v>
      </c>
      <c r="K17" s="148">
        <v>22958</v>
      </c>
      <c r="L17" s="148">
        <v>25779</v>
      </c>
      <c r="M17" s="148">
        <v>29901</v>
      </c>
      <c r="N17" s="148">
        <v>30355</v>
      </c>
    </row>
    <row r="18" spans="2:14" ht="15" thickTop="1" x14ac:dyDescent="0.3"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</row>
    <row r="19" spans="2:14" x14ac:dyDescent="0.3">
      <c r="B19" s="8" t="s">
        <v>286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</row>
    <row r="20" spans="2:14" x14ac:dyDescent="0.3">
      <c r="B20" s="146" t="s">
        <v>287</v>
      </c>
      <c r="C20" s="144">
        <v>247</v>
      </c>
      <c r="D20" s="144">
        <v>251</v>
      </c>
      <c r="E20" s="144">
        <v>429</v>
      </c>
      <c r="F20" s="144">
        <v>408</v>
      </c>
      <c r="G20" s="144">
        <v>586</v>
      </c>
      <c r="H20" s="144">
        <v>605</v>
      </c>
      <c r="I20" s="144">
        <v>640</v>
      </c>
      <c r="J20" s="144">
        <v>644</v>
      </c>
      <c r="K20" s="144">
        <v>644</v>
      </c>
      <c r="L20" s="144">
        <v>804</v>
      </c>
      <c r="M20" s="145">
        <v>1126</v>
      </c>
      <c r="N20" s="145">
        <v>1050</v>
      </c>
    </row>
    <row r="21" spans="2:14" x14ac:dyDescent="0.3">
      <c r="B21" s="146" t="s">
        <v>288</v>
      </c>
      <c r="C21" s="144">
        <v>931</v>
      </c>
      <c r="D21" s="144">
        <v>962</v>
      </c>
      <c r="E21" s="144">
        <v>923</v>
      </c>
      <c r="F21" s="144">
        <v>931</v>
      </c>
      <c r="G21" s="144">
        <v>957</v>
      </c>
      <c r="H21" s="145">
        <v>2402</v>
      </c>
      <c r="I21" s="145">
        <v>2257</v>
      </c>
      <c r="J21" s="145">
        <v>2249</v>
      </c>
      <c r="K21" s="145">
        <v>2325</v>
      </c>
      <c r="L21" s="145">
        <v>2883</v>
      </c>
      <c r="M21" s="145">
        <v>3390</v>
      </c>
      <c r="N21" s="145">
        <v>4136</v>
      </c>
    </row>
    <row r="22" spans="2:14" x14ac:dyDescent="0.3">
      <c r="B22" s="146" t="s">
        <v>289</v>
      </c>
      <c r="C22" s="145">
        <v>2054</v>
      </c>
      <c r="D22" s="145">
        <v>2132</v>
      </c>
      <c r="E22" s="145">
        <v>1793</v>
      </c>
      <c r="F22" s="145">
        <v>1980</v>
      </c>
      <c r="G22" s="145">
        <v>2157</v>
      </c>
      <c r="H22" s="145">
        <v>4006</v>
      </c>
      <c r="I22" s="145">
        <v>4208</v>
      </c>
      <c r="J22" s="145">
        <v>4340</v>
      </c>
      <c r="K22" s="145">
        <v>4531</v>
      </c>
      <c r="L22" s="145">
        <v>4825</v>
      </c>
      <c r="M22" s="145">
        <v>5422</v>
      </c>
      <c r="N22" s="145">
        <v>7576</v>
      </c>
    </row>
    <row r="23" spans="2:14" x14ac:dyDescent="0.3">
      <c r="B23" s="146" t="s">
        <v>290</v>
      </c>
      <c r="C23" s="144">
        <v>155</v>
      </c>
      <c r="D23" s="144">
        <v>171</v>
      </c>
      <c r="E23" s="144">
        <v>97</v>
      </c>
      <c r="F23" s="144">
        <v>119</v>
      </c>
      <c r="G23" s="144">
        <v>200</v>
      </c>
      <c r="H23" s="144">
        <v>221</v>
      </c>
      <c r="I23" s="144">
        <v>241</v>
      </c>
      <c r="J23" s="144">
        <v>243</v>
      </c>
      <c r="K23" s="144">
        <v>253</v>
      </c>
      <c r="L23" s="144">
        <v>270</v>
      </c>
      <c r="M23" s="144">
        <v>298</v>
      </c>
      <c r="N23" s="144">
        <v>325</v>
      </c>
    </row>
    <row r="24" spans="2:14" x14ac:dyDescent="0.3">
      <c r="B24" s="146" t="s">
        <v>291</v>
      </c>
      <c r="C24" s="144">
        <v>71</v>
      </c>
      <c r="D24" s="144">
        <v>83</v>
      </c>
      <c r="E24" s="144">
        <v>49</v>
      </c>
      <c r="F24" s="144">
        <v>59</v>
      </c>
      <c r="G24" s="144">
        <v>72</v>
      </c>
      <c r="H24" s="144">
        <v>88</v>
      </c>
      <c r="I24" s="144">
        <v>94</v>
      </c>
      <c r="J24" s="144">
        <v>99</v>
      </c>
      <c r="K24" s="144">
        <v>113</v>
      </c>
      <c r="L24" s="144">
        <v>146</v>
      </c>
      <c r="M24" s="144">
        <v>175</v>
      </c>
      <c r="N24" s="144">
        <v>203</v>
      </c>
    </row>
    <row r="25" spans="2:14" x14ac:dyDescent="0.3">
      <c r="B25" s="146" t="s">
        <v>292</v>
      </c>
      <c r="C25" s="144">
        <v>14</v>
      </c>
      <c r="D25" s="144">
        <v>18</v>
      </c>
      <c r="E25" s="144">
        <v>11</v>
      </c>
      <c r="F25" s="144">
        <v>14</v>
      </c>
      <c r="G25" s="144">
        <v>27</v>
      </c>
      <c r="H25" s="144">
        <v>47</v>
      </c>
      <c r="I25" s="144">
        <v>43</v>
      </c>
      <c r="J25" s="144">
        <v>38</v>
      </c>
      <c r="K25" s="144">
        <v>32</v>
      </c>
      <c r="L25" s="144">
        <v>36</v>
      </c>
      <c r="M25" s="144">
        <v>40</v>
      </c>
      <c r="N25" s="144">
        <v>39</v>
      </c>
    </row>
    <row r="26" spans="2:14" x14ac:dyDescent="0.3">
      <c r="B26" s="146" t="s">
        <v>293</v>
      </c>
      <c r="C26" s="144">
        <v>203</v>
      </c>
      <c r="D26" s="144">
        <v>351</v>
      </c>
      <c r="E26" s="144">
        <v>339</v>
      </c>
      <c r="F26" s="144">
        <v>276</v>
      </c>
      <c r="G26" s="144">
        <v>468</v>
      </c>
      <c r="H26" s="144">
        <v>512</v>
      </c>
      <c r="I26" s="144">
        <v>505</v>
      </c>
      <c r="J26" s="144">
        <v>476</v>
      </c>
      <c r="K26" s="144">
        <v>345</v>
      </c>
      <c r="L26" s="144">
        <v>422</v>
      </c>
      <c r="M26" s="144">
        <v>850</v>
      </c>
      <c r="N26" s="144">
        <v>827</v>
      </c>
    </row>
    <row r="27" spans="2:14" x14ac:dyDescent="0.3">
      <c r="B27" s="146" t="s">
        <v>294</v>
      </c>
      <c r="C27" s="144">
        <v>128</v>
      </c>
      <c r="D27" s="144">
        <v>145</v>
      </c>
      <c r="E27" s="144">
        <v>103</v>
      </c>
      <c r="F27" s="144">
        <v>128</v>
      </c>
      <c r="G27" s="144">
        <v>238</v>
      </c>
      <c r="H27" s="144">
        <v>261</v>
      </c>
      <c r="I27" s="144">
        <v>293</v>
      </c>
      <c r="J27" s="144">
        <v>302</v>
      </c>
      <c r="K27" s="144">
        <v>294</v>
      </c>
      <c r="L27" s="144">
        <v>289</v>
      </c>
      <c r="M27" s="144">
        <v>321</v>
      </c>
      <c r="N27" s="144">
        <v>328</v>
      </c>
    </row>
    <row r="28" spans="2:14" s="8" customFormat="1" x14ac:dyDescent="0.3">
      <c r="B28" s="141" t="s">
        <v>295</v>
      </c>
      <c r="C28" s="143">
        <v>3804</v>
      </c>
      <c r="D28" s="143">
        <v>4112</v>
      </c>
      <c r="E28" s="143">
        <v>3744</v>
      </c>
      <c r="F28" s="143">
        <v>3914</v>
      </c>
      <c r="G28" s="143">
        <v>4705</v>
      </c>
      <c r="H28" s="143">
        <v>8141</v>
      </c>
      <c r="I28" s="143">
        <v>8282</v>
      </c>
      <c r="J28" s="143">
        <v>8392</v>
      </c>
      <c r="K28" s="143">
        <v>8538</v>
      </c>
      <c r="L28" s="143">
        <v>9676</v>
      </c>
      <c r="M28" s="143">
        <v>11622</v>
      </c>
      <c r="N28" s="143">
        <v>14484</v>
      </c>
    </row>
    <row r="29" spans="2:14" x14ac:dyDescent="0.3">
      <c r="B29" s="141" t="s">
        <v>296</v>
      </c>
      <c r="C29" s="143">
        <v>-1242</v>
      </c>
      <c r="D29" s="143">
        <v>-1242</v>
      </c>
      <c r="E29" s="143">
        <v>-1242</v>
      </c>
      <c r="F29" s="143">
        <v>-1242</v>
      </c>
      <c r="G29" s="143">
        <v>-1242</v>
      </c>
      <c r="H29" s="143">
        <v>-1242</v>
      </c>
      <c r="I29" s="143">
        <v>-1242</v>
      </c>
      <c r="J29" s="143">
        <v>-1242</v>
      </c>
      <c r="K29" s="143">
        <v>-1242</v>
      </c>
      <c r="L29" s="143">
        <v>-1242</v>
      </c>
      <c r="M29" s="143">
        <v>-1242</v>
      </c>
      <c r="N29" s="143">
        <v>-1242</v>
      </c>
    </row>
    <row r="30" spans="2:14" x14ac:dyDescent="0.3">
      <c r="B30" s="141" t="s">
        <v>14</v>
      </c>
      <c r="C30" s="143">
        <f>SUM(C28:C29)</f>
        <v>2562</v>
      </c>
      <c r="D30" s="143">
        <f t="shared" ref="D30:N30" si="0">SUM(D28:D29)</f>
        <v>2870</v>
      </c>
      <c r="E30" s="143">
        <f t="shared" si="0"/>
        <v>2502</v>
      </c>
      <c r="F30" s="143">
        <f t="shared" si="0"/>
        <v>2672</v>
      </c>
      <c r="G30" s="143">
        <f t="shared" si="0"/>
        <v>3463</v>
      </c>
      <c r="H30" s="143">
        <f t="shared" si="0"/>
        <v>6899</v>
      </c>
      <c r="I30" s="143">
        <f t="shared" si="0"/>
        <v>7040</v>
      </c>
      <c r="J30" s="143">
        <f t="shared" si="0"/>
        <v>7150</v>
      </c>
      <c r="K30" s="143">
        <f t="shared" si="0"/>
        <v>7296</v>
      </c>
      <c r="L30" s="143">
        <f t="shared" si="0"/>
        <v>8434</v>
      </c>
      <c r="M30" s="143">
        <f t="shared" si="0"/>
        <v>10380</v>
      </c>
      <c r="N30" s="143">
        <f t="shared" si="0"/>
        <v>13242</v>
      </c>
    </row>
    <row r="31" spans="2:14" x14ac:dyDescent="0.3">
      <c r="B31" s="8"/>
      <c r="C31" s="137"/>
      <c r="D31" s="137"/>
      <c r="E31" s="118"/>
      <c r="F31" s="118"/>
      <c r="G31" s="118"/>
      <c r="H31" s="137"/>
      <c r="I31" s="137"/>
      <c r="J31" s="137"/>
      <c r="K31" s="137"/>
      <c r="L31" s="137"/>
      <c r="M31" s="137"/>
      <c r="N31" s="137"/>
    </row>
    <row r="32" spans="2:14" x14ac:dyDescent="0.3">
      <c r="B32" s="146" t="s">
        <v>297</v>
      </c>
      <c r="C32" s="144">
        <v>72</v>
      </c>
      <c r="D32" s="144">
        <v>196</v>
      </c>
      <c r="E32" s="144">
        <v>107</v>
      </c>
      <c r="F32" s="144">
        <v>258</v>
      </c>
      <c r="G32" s="145">
        <v>1405</v>
      </c>
      <c r="H32" s="144">
        <v>210</v>
      </c>
      <c r="I32" s="144">
        <v>140</v>
      </c>
      <c r="J32" s="144">
        <v>183</v>
      </c>
      <c r="K32" s="144">
        <v>426</v>
      </c>
      <c r="L32" s="145">
        <v>1020</v>
      </c>
      <c r="M32" s="145">
        <v>2698</v>
      </c>
      <c r="N32" s="145">
        <v>1254</v>
      </c>
    </row>
    <row r="33" spans="2:14" x14ac:dyDescent="0.3">
      <c r="B33" s="146" t="s">
        <v>16</v>
      </c>
      <c r="C33" s="145">
        <v>1424</v>
      </c>
      <c r="D33" s="145">
        <v>1588</v>
      </c>
      <c r="E33" s="145">
        <v>2712</v>
      </c>
      <c r="F33" s="145">
        <v>2652</v>
      </c>
      <c r="G33" s="145">
        <v>2141</v>
      </c>
      <c r="H33" s="145">
        <v>2569</v>
      </c>
      <c r="I33" s="145">
        <v>2019</v>
      </c>
      <c r="J33" s="145">
        <v>4737</v>
      </c>
      <c r="K33" s="145">
        <v>3248</v>
      </c>
      <c r="L33" s="145">
        <v>4262</v>
      </c>
      <c r="M33" s="145">
        <v>4588</v>
      </c>
      <c r="N33" s="145">
        <v>4725</v>
      </c>
    </row>
    <row r="34" spans="2:14" x14ac:dyDescent="0.3"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</row>
    <row r="35" spans="2:14" x14ac:dyDescent="0.3"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</row>
    <row r="36" spans="2:14" x14ac:dyDescent="0.3">
      <c r="B36" s="8" t="s">
        <v>298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</row>
    <row r="37" spans="2:14" x14ac:dyDescent="0.3">
      <c r="B37" s="156" t="s">
        <v>299</v>
      </c>
      <c r="C37" s="145">
        <v>2070</v>
      </c>
      <c r="D37" s="145">
        <v>2259</v>
      </c>
      <c r="E37" s="145">
        <v>1998</v>
      </c>
      <c r="F37" s="145">
        <v>2627</v>
      </c>
      <c r="G37" s="145">
        <v>2658</v>
      </c>
      <c r="H37" s="145">
        <v>3150</v>
      </c>
      <c r="I37" s="145">
        <v>3390</v>
      </c>
      <c r="J37" s="145">
        <v>3799</v>
      </c>
      <c r="K37" s="145">
        <v>6153</v>
      </c>
      <c r="L37" s="145">
        <v>6211</v>
      </c>
      <c r="M37" s="145">
        <v>5923</v>
      </c>
      <c r="N37" s="145">
        <v>6719</v>
      </c>
    </row>
    <row r="38" spans="2:14" x14ac:dyDescent="0.3">
      <c r="B38" s="156" t="s">
        <v>300</v>
      </c>
      <c r="C38" s="145">
        <v>1110</v>
      </c>
      <c r="D38" s="145">
        <v>1182</v>
      </c>
      <c r="E38" s="145">
        <v>1187</v>
      </c>
      <c r="F38" s="145">
        <v>1447</v>
      </c>
      <c r="G38" s="145">
        <v>1731</v>
      </c>
      <c r="H38" s="145">
        <v>1907</v>
      </c>
      <c r="I38" s="145">
        <v>1795</v>
      </c>
      <c r="J38" s="145">
        <v>2602</v>
      </c>
      <c r="K38" s="145">
        <v>3871</v>
      </c>
      <c r="L38" s="145">
        <v>4637</v>
      </c>
      <c r="M38" s="145">
        <v>4889</v>
      </c>
      <c r="N38" s="145">
        <v>4314</v>
      </c>
    </row>
    <row r="39" spans="2:14" x14ac:dyDescent="0.3">
      <c r="B39" s="153" t="s">
        <v>301</v>
      </c>
      <c r="C39" s="144">
        <v>51</v>
      </c>
      <c r="D39" s="144">
        <v>61</v>
      </c>
      <c r="E39" s="144">
        <v>0</v>
      </c>
      <c r="F39" s="144">
        <v>0</v>
      </c>
      <c r="G39" s="144">
        <v>0</v>
      </c>
      <c r="H39" s="144">
        <v>0</v>
      </c>
      <c r="I39" s="144">
        <v>0</v>
      </c>
      <c r="J39" s="144">
        <v>0</v>
      </c>
      <c r="K39" s="144">
        <v>279</v>
      </c>
      <c r="L39" s="144">
        <v>366</v>
      </c>
      <c r="M39" s="144">
        <v>588</v>
      </c>
      <c r="N39" s="144">
        <v>726</v>
      </c>
    </row>
    <row r="40" spans="2:14" x14ac:dyDescent="0.3">
      <c r="B40" s="153" t="s">
        <v>302</v>
      </c>
      <c r="C40" s="145">
        <v>1110</v>
      </c>
      <c r="D40" s="145">
        <v>1180</v>
      </c>
      <c r="E40" s="145">
        <v>1253</v>
      </c>
      <c r="F40" s="145">
        <v>1526</v>
      </c>
      <c r="G40" s="145">
        <v>1820</v>
      </c>
      <c r="H40" s="145">
        <v>2028</v>
      </c>
      <c r="I40" s="145">
        <v>1950</v>
      </c>
      <c r="J40" s="145">
        <v>2787</v>
      </c>
      <c r="K40" s="145">
        <v>3834</v>
      </c>
      <c r="L40" s="145">
        <v>4576</v>
      </c>
      <c r="M40" s="145">
        <v>4723</v>
      </c>
      <c r="N40" s="145">
        <v>4250</v>
      </c>
    </row>
    <row r="41" spans="2:14" x14ac:dyDescent="0.3">
      <c r="B41" s="153" t="s">
        <v>303</v>
      </c>
      <c r="C41" s="144">
        <v>-50</v>
      </c>
      <c r="D41" s="144">
        <v>-59</v>
      </c>
      <c r="E41" s="144">
        <v>-67</v>
      </c>
      <c r="F41" s="144">
        <v>-79</v>
      </c>
      <c r="G41" s="144">
        <v>-89</v>
      </c>
      <c r="H41" s="144">
        <v>-121</v>
      </c>
      <c r="I41" s="144">
        <v>-155</v>
      </c>
      <c r="J41" s="144">
        <v>-185</v>
      </c>
      <c r="K41" s="144">
        <v>-241</v>
      </c>
      <c r="L41" s="144">
        <v>-305</v>
      </c>
      <c r="M41" s="144">
        <v>-422</v>
      </c>
      <c r="N41" s="144">
        <v>-663</v>
      </c>
    </row>
    <row r="42" spans="2:14" x14ac:dyDescent="0.3">
      <c r="B42" s="156" t="s">
        <v>304</v>
      </c>
      <c r="C42" s="144">
        <v>229</v>
      </c>
      <c r="D42" s="144">
        <v>204</v>
      </c>
      <c r="E42" s="144">
        <v>424</v>
      </c>
      <c r="F42" s="144">
        <v>801</v>
      </c>
      <c r="G42" s="144">
        <v>405</v>
      </c>
      <c r="H42" s="144">
        <v>445</v>
      </c>
      <c r="I42" s="144">
        <v>783</v>
      </c>
      <c r="J42" s="144">
        <v>611</v>
      </c>
      <c r="K42" s="144">
        <v>864</v>
      </c>
      <c r="L42" s="144">
        <v>844</v>
      </c>
      <c r="M42" s="145">
        <v>1084</v>
      </c>
      <c r="N42" s="144">
        <v>782</v>
      </c>
    </row>
    <row r="43" spans="2:14" x14ac:dyDescent="0.3">
      <c r="B43" s="156" t="s">
        <v>305</v>
      </c>
      <c r="C43" s="144">
        <v>7</v>
      </c>
      <c r="D43" s="144">
        <v>8</v>
      </c>
      <c r="E43" s="144">
        <v>9</v>
      </c>
      <c r="F43" s="144">
        <v>14</v>
      </c>
      <c r="G43" s="144">
        <v>13</v>
      </c>
      <c r="H43" s="144">
        <v>16</v>
      </c>
      <c r="I43" s="144">
        <v>12</v>
      </c>
      <c r="J43" s="144">
        <v>11</v>
      </c>
      <c r="K43" s="144">
        <v>8</v>
      </c>
      <c r="L43" s="144">
        <v>12</v>
      </c>
      <c r="M43" s="144">
        <v>17</v>
      </c>
      <c r="N43" s="144">
        <v>22</v>
      </c>
    </row>
    <row r="44" spans="2:14" x14ac:dyDescent="0.3">
      <c r="B44" s="156" t="s">
        <v>306</v>
      </c>
      <c r="C44" s="144">
        <v>603</v>
      </c>
      <c r="D44" s="144">
        <v>817</v>
      </c>
      <c r="E44" s="144">
        <v>705</v>
      </c>
      <c r="F44" s="145">
        <v>1303</v>
      </c>
      <c r="G44" s="145">
        <v>1678</v>
      </c>
      <c r="H44" s="145">
        <v>1456</v>
      </c>
      <c r="I44" s="145">
        <v>1727</v>
      </c>
      <c r="J44" s="145">
        <v>2555</v>
      </c>
      <c r="K44" s="145">
        <v>2869</v>
      </c>
      <c r="L44" s="145">
        <v>3024</v>
      </c>
      <c r="M44" s="145">
        <v>3555</v>
      </c>
      <c r="N44" s="145">
        <v>3319</v>
      </c>
    </row>
    <row r="45" spans="2:14" ht="15" thickBot="1" x14ac:dyDescent="0.35">
      <c r="B45" s="154" t="s">
        <v>272</v>
      </c>
      <c r="C45" s="155">
        <v>8075</v>
      </c>
      <c r="D45" s="155">
        <v>8914</v>
      </c>
      <c r="E45" s="155">
        <v>10559</v>
      </c>
      <c r="F45" s="155">
        <v>12405</v>
      </c>
      <c r="G45" s="155">
        <v>13763</v>
      </c>
      <c r="H45" s="155">
        <v>16249</v>
      </c>
      <c r="I45" s="155">
        <v>16138</v>
      </c>
      <c r="J45" s="155">
        <v>20355</v>
      </c>
      <c r="K45" s="155">
        <v>22958</v>
      </c>
      <c r="L45" s="155">
        <v>25779</v>
      </c>
      <c r="M45" s="155">
        <v>29901</v>
      </c>
      <c r="N45" s="155">
        <v>30355</v>
      </c>
    </row>
    <row r="46" spans="2:14" ht="15" thickTop="1" x14ac:dyDescent="0.3"/>
    <row r="49" spans="2:15" x14ac:dyDescent="0.3">
      <c r="B49" s="168" t="s">
        <v>331</v>
      </c>
    </row>
    <row r="50" spans="2:15" s="25" customFormat="1" x14ac:dyDescent="0.3">
      <c r="B50" s="24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</row>
    <row r="51" spans="2:15" x14ac:dyDescent="0.3">
      <c r="C51" s="165">
        <v>44713</v>
      </c>
      <c r="D51" s="165">
        <v>44805</v>
      </c>
      <c r="E51" s="165">
        <v>44896</v>
      </c>
      <c r="F51" s="165">
        <v>44986</v>
      </c>
      <c r="G51" s="165">
        <v>45078</v>
      </c>
      <c r="H51" s="165">
        <v>45170</v>
      </c>
      <c r="I51" s="165">
        <v>45261</v>
      </c>
      <c r="J51" s="165">
        <v>45352</v>
      </c>
      <c r="K51" s="165">
        <v>45444</v>
      </c>
      <c r="L51" s="165">
        <v>45536</v>
      </c>
      <c r="M51" s="165">
        <v>45627</v>
      </c>
      <c r="N51" s="165">
        <v>45717</v>
      </c>
      <c r="O51" s="165">
        <v>45809</v>
      </c>
    </row>
    <row r="52" spans="2:15" x14ac:dyDescent="0.3">
      <c r="B52" t="s">
        <v>319</v>
      </c>
      <c r="C52" s="138">
        <v>8607</v>
      </c>
      <c r="D52" s="138">
        <v>8458</v>
      </c>
      <c r="E52" s="138">
        <v>8637</v>
      </c>
      <c r="F52" s="138">
        <v>8787</v>
      </c>
      <c r="G52" s="138">
        <v>9182</v>
      </c>
      <c r="H52" s="138">
        <v>8479</v>
      </c>
      <c r="I52" s="138">
        <v>9103</v>
      </c>
      <c r="J52" s="138">
        <v>8731</v>
      </c>
      <c r="K52" s="138">
        <v>8970</v>
      </c>
      <c r="L52" s="138">
        <v>8028</v>
      </c>
      <c r="M52" s="138">
        <v>8549</v>
      </c>
      <c r="N52" s="138">
        <v>8359</v>
      </c>
      <c r="O52" s="48">
        <v>8939</v>
      </c>
    </row>
    <row r="53" spans="2:15" x14ac:dyDescent="0.3">
      <c r="B53" t="s">
        <v>320</v>
      </c>
      <c r="C53" s="138">
        <v>7051</v>
      </c>
      <c r="D53" s="138">
        <v>7230</v>
      </c>
      <c r="E53" s="138">
        <v>7025</v>
      </c>
      <c r="F53" s="138">
        <v>6923</v>
      </c>
      <c r="G53" s="138">
        <v>7061</v>
      </c>
      <c r="H53" s="138">
        <v>6762</v>
      </c>
      <c r="I53" s="138">
        <v>7047</v>
      </c>
      <c r="J53" s="138">
        <v>7039</v>
      </c>
      <c r="K53" s="138">
        <v>7276</v>
      </c>
      <c r="L53" s="138">
        <v>6788</v>
      </c>
      <c r="M53" s="138">
        <v>6913</v>
      </c>
      <c r="N53" s="138">
        <v>6923</v>
      </c>
      <c r="O53" s="48">
        <v>7314</v>
      </c>
    </row>
    <row r="54" spans="2:15" x14ac:dyDescent="0.3">
      <c r="B54" t="s">
        <v>3</v>
      </c>
      <c r="C54" s="138">
        <v>1556</v>
      </c>
      <c r="D54" s="138">
        <v>1228</v>
      </c>
      <c r="E54" s="138">
        <v>1611</v>
      </c>
      <c r="F54" s="138">
        <v>1865</v>
      </c>
      <c r="G54" s="138">
        <v>2121</v>
      </c>
      <c r="H54" s="138">
        <v>1716</v>
      </c>
      <c r="I54" s="138">
        <v>2056</v>
      </c>
      <c r="J54" s="138">
        <v>1691</v>
      </c>
      <c r="K54" s="138">
        <v>1694</v>
      </c>
      <c r="L54" s="138">
        <v>1240</v>
      </c>
      <c r="M54" s="138">
        <v>1637</v>
      </c>
      <c r="N54" s="138">
        <v>1436</v>
      </c>
      <c r="O54" s="48">
        <v>1625</v>
      </c>
    </row>
    <row r="55" spans="2:15" x14ac:dyDescent="0.3">
      <c r="B55" t="s">
        <v>321</v>
      </c>
      <c r="C55" s="163">
        <v>0.18</v>
      </c>
      <c r="D55" s="163">
        <v>0.15</v>
      </c>
      <c r="E55" s="163">
        <v>0.19</v>
      </c>
      <c r="F55" s="163">
        <v>0.21</v>
      </c>
      <c r="G55" s="163">
        <v>0.23</v>
      </c>
      <c r="H55" s="163">
        <v>0.2</v>
      </c>
      <c r="I55" s="163">
        <v>0.23</v>
      </c>
      <c r="J55" s="163">
        <v>0.19</v>
      </c>
      <c r="K55" s="163">
        <v>0.19</v>
      </c>
      <c r="L55" s="163">
        <v>0.15</v>
      </c>
      <c r="M55" s="163">
        <v>0.19</v>
      </c>
      <c r="N55" s="163">
        <v>0.17</v>
      </c>
      <c r="O55" s="164">
        <v>0.18</v>
      </c>
    </row>
    <row r="56" spans="2:15" x14ac:dyDescent="0.3">
      <c r="B56" t="s">
        <v>322</v>
      </c>
      <c r="C56" s="139">
        <v>88</v>
      </c>
      <c r="D56" s="139">
        <v>118</v>
      </c>
      <c r="E56" s="139">
        <v>122</v>
      </c>
      <c r="F56" s="139">
        <v>104</v>
      </c>
      <c r="G56" s="139">
        <v>228</v>
      </c>
      <c r="H56" s="139">
        <v>194</v>
      </c>
      <c r="I56" s="139">
        <v>186</v>
      </c>
      <c r="J56" s="139">
        <v>212</v>
      </c>
      <c r="K56" s="139">
        <v>193</v>
      </c>
      <c r="L56" s="139">
        <v>25</v>
      </c>
      <c r="M56" s="139">
        <v>193</v>
      </c>
      <c r="N56" s="139">
        <v>-60</v>
      </c>
      <c r="O56">
        <v>229</v>
      </c>
    </row>
    <row r="57" spans="2:15" x14ac:dyDescent="0.3">
      <c r="B57" t="s">
        <v>6</v>
      </c>
      <c r="C57" s="139">
        <v>29</v>
      </c>
      <c r="D57" s="139">
        <v>35</v>
      </c>
      <c r="E57" s="139">
        <v>41</v>
      </c>
      <c r="F57" s="139">
        <v>39</v>
      </c>
      <c r="G57" s="139">
        <v>46</v>
      </c>
      <c r="H57" s="139">
        <v>51</v>
      </c>
      <c r="I57" s="139">
        <v>54</v>
      </c>
      <c r="J57" s="139">
        <v>54</v>
      </c>
      <c r="K57" s="139">
        <v>55</v>
      </c>
      <c r="L57" s="139">
        <v>63</v>
      </c>
      <c r="M57" s="139">
        <v>56</v>
      </c>
      <c r="N57" s="139">
        <v>53</v>
      </c>
      <c r="O57">
        <v>44</v>
      </c>
    </row>
    <row r="58" spans="2:15" x14ac:dyDescent="0.3">
      <c r="B58" t="s">
        <v>5</v>
      </c>
      <c r="C58" s="139">
        <v>208</v>
      </c>
      <c r="D58" s="139">
        <v>216</v>
      </c>
      <c r="E58" s="139">
        <v>214</v>
      </c>
      <c r="F58" s="139">
        <v>220</v>
      </c>
      <c r="G58" s="139">
        <v>198</v>
      </c>
      <c r="H58" s="139">
        <v>209</v>
      </c>
      <c r="I58" s="139">
        <v>220</v>
      </c>
      <c r="J58" s="139">
        <v>226</v>
      </c>
      <c r="K58" s="139">
        <v>228</v>
      </c>
      <c r="L58" s="139">
        <v>242</v>
      </c>
      <c r="M58" s="139">
        <v>256</v>
      </c>
      <c r="N58" s="139">
        <v>301</v>
      </c>
      <c r="O58">
        <v>301</v>
      </c>
    </row>
    <row r="59" spans="2:15" x14ac:dyDescent="0.3">
      <c r="B59" t="s">
        <v>7</v>
      </c>
      <c r="C59" s="138">
        <v>1407</v>
      </c>
      <c r="D59" s="138">
        <v>1094</v>
      </c>
      <c r="E59" s="138">
        <v>1478</v>
      </c>
      <c r="F59" s="138">
        <v>1710</v>
      </c>
      <c r="G59" s="138">
        <v>2105</v>
      </c>
      <c r="H59" s="138">
        <v>1651</v>
      </c>
      <c r="I59" s="138">
        <v>1968</v>
      </c>
      <c r="J59" s="138">
        <v>1624</v>
      </c>
      <c r="K59" s="138">
        <v>1604</v>
      </c>
      <c r="L59" s="139">
        <v>959</v>
      </c>
      <c r="M59" s="138">
        <v>1518</v>
      </c>
      <c r="N59" s="138">
        <v>1022</v>
      </c>
      <c r="O59" s="48">
        <v>1509</v>
      </c>
    </row>
    <row r="60" spans="2:15" x14ac:dyDescent="0.3">
      <c r="B60" t="s">
        <v>323</v>
      </c>
      <c r="C60" s="163">
        <v>0.26</v>
      </c>
      <c r="D60" s="163">
        <v>0.27</v>
      </c>
      <c r="E60" s="163">
        <v>0.26</v>
      </c>
      <c r="F60" s="163">
        <v>0.26</v>
      </c>
      <c r="G60" s="163">
        <v>0.25</v>
      </c>
      <c r="H60" s="163">
        <v>0.25</v>
      </c>
      <c r="I60" s="163">
        <v>0.25</v>
      </c>
      <c r="J60" s="163">
        <v>0.21</v>
      </c>
      <c r="K60" s="163">
        <v>0.26</v>
      </c>
      <c r="L60" s="163">
        <v>0.28000000000000003</v>
      </c>
      <c r="M60" s="163">
        <v>0.26</v>
      </c>
      <c r="N60" s="163">
        <v>0.31</v>
      </c>
      <c r="O60" s="164">
        <v>0.26</v>
      </c>
    </row>
    <row r="61" spans="2:15" x14ac:dyDescent="0.3">
      <c r="B61" t="s">
        <v>324</v>
      </c>
      <c r="C61" s="138">
        <v>1036</v>
      </c>
      <c r="D61" s="139">
        <v>804</v>
      </c>
      <c r="E61" s="138">
        <v>1097</v>
      </c>
      <c r="F61" s="138">
        <v>1258</v>
      </c>
      <c r="G61" s="138">
        <v>1575</v>
      </c>
      <c r="H61" s="138">
        <v>1232</v>
      </c>
      <c r="I61" s="138">
        <v>1475</v>
      </c>
      <c r="J61" s="138">
        <v>1275</v>
      </c>
      <c r="K61" s="138">
        <v>1187</v>
      </c>
      <c r="L61" s="139">
        <v>694</v>
      </c>
      <c r="M61" s="138">
        <v>1128</v>
      </c>
      <c r="N61" s="139">
        <v>701</v>
      </c>
      <c r="O61" s="48">
        <v>1117</v>
      </c>
    </row>
    <row r="62" spans="2:15" x14ac:dyDescent="0.3">
      <c r="B62" t="s">
        <v>325</v>
      </c>
      <c r="C62" s="139">
        <v>10.6</v>
      </c>
      <c r="D62" s="139">
        <v>8.16</v>
      </c>
      <c r="E62" s="139">
        <v>11.18</v>
      </c>
      <c r="F62" s="139">
        <v>12.87</v>
      </c>
      <c r="G62" s="139">
        <v>16.16</v>
      </c>
      <c r="H62" s="139">
        <v>12.57</v>
      </c>
      <c r="I62" s="139">
        <v>15.09</v>
      </c>
      <c r="J62" s="139">
        <v>13.1</v>
      </c>
      <c r="K62" s="139">
        <v>12.2</v>
      </c>
      <c r="L62" s="139">
        <v>7.24</v>
      </c>
      <c r="M62" s="139">
        <v>11.58</v>
      </c>
      <c r="N62" s="139">
        <v>7.22</v>
      </c>
      <c r="O62">
        <v>11.47</v>
      </c>
    </row>
    <row r="64" spans="2:15" x14ac:dyDescent="0.3">
      <c r="B64" s="8" t="s">
        <v>326</v>
      </c>
      <c r="C64" s="137">
        <f>C54-C58</f>
        <v>1348</v>
      </c>
      <c r="D64" s="137">
        <f t="shared" ref="D64:O64" si="1">D54-D58</f>
        <v>1012</v>
      </c>
      <c r="E64" s="137">
        <f t="shared" si="1"/>
        <v>1397</v>
      </c>
      <c r="F64" s="137">
        <f t="shared" si="1"/>
        <v>1645</v>
      </c>
      <c r="G64" s="137">
        <f t="shared" si="1"/>
        <v>1923</v>
      </c>
      <c r="H64" s="137">
        <f t="shared" si="1"/>
        <v>1507</v>
      </c>
      <c r="I64" s="137">
        <f t="shared" si="1"/>
        <v>1836</v>
      </c>
      <c r="J64" s="137">
        <f t="shared" si="1"/>
        <v>1465</v>
      </c>
      <c r="K64" s="137">
        <f t="shared" si="1"/>
        <v>1466</v>
      </c>
      <c r="L64" s="137">
        <f t="shared" si="1"/>
        <v>998</v>
      </c>
      <c r="M64" s="137">
        <f t="shared" si="1"/>
        <v>1381</v>
      </c>
      <c r="N64" s="137">
        <f t="shared" si="1"/>
        <v>1135</v>
      </c>
      <c r="O64" s="137">
        <f t="shared" si="1"/>
        <v>1324</v>
      </c>
    </row>
    <row r="67" spans="2:14" x14ac:dyDescent="0.3">
      <c r="B67" s="168" t="s">
        <v>330</v>
      </c>
    </row>
    <row r="68" spans="2:14" s="25" customFormat="1" x14ac:dyDescent="0.3">
      <c r="B68" s="24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</row>
    <row r="69" spans="2:14" x14ac:dyDescent="0.3">
      <c r="C69" s="161">
        <v>41699</v>
      </c>
      <c r="D69" s="162">
        <v>42064</v>
      </c>
      <c r="E69" s="162">
        <v>42430</v>
      </c>
      <c r="F69" s="162">
        <v>42795</v>
      </c>
      <c r="G69" s="162">
        <v>43160</v>
      </c>
      <c r="H69" s="162">
        <v>43525</v>
      </c>
      <c r="I69" s="162">
        <v>43891</v>
      </c>
      <c r="J69" s="162">
        <v>44256</v>
      </c>
      <c r="K69" s="162">
        <v>44621</v>
      </c>
      <c r="L69" s="162">
        <v>44986</v>
      </c>
      <c r="M69" s="162">
        <v>45352</v>
      </c>
      <c r="N69" s="162">
        <v>45717</v>
      </c>
    </row>
    <row r="70" spans="2:14" x14ac:dyDescent="0.3">
      <c r="B70" s="8" t="s">
        <v>87</v>
      </c>
      <c r="C70" s="138">
        <v>1402</v>
      </c>
      <c r="D70" s="138">
        <v>1188</v>
      </c>
      <c r="E70" s="138">
        <v>2243</v>
      </c>
      <c r="F70" s="138">
        <v>1527</v>
      </c>
      <c r="G70" s="138">
        <v>2113</v>
      </c>
      <c r="H70" s="138">
        <v>2470</v>
      </c>
      <c r="I70" s="138">
        <v>3038</v>
      </c>
      <c r="J70" s="138">
        <v>3683</v>
      </c>
      <c r="K70" s="139">
        <v>986</v>
      </c>
      <c r="L70" s="138">
        <v>4193</v>
      </c>
      <c r="M70" s="138">
        <v>6104</v>
      </c>
      <c r="N70" s="138">
        <v>4424</v>
      </c>
    </row>
    <row r="71" spans="2:14" x14ac:dyDescent="0.3">
      <c r="B71" t="s">
        <v>88</v>
      </c>
      <c r="C71" s="138">
        <v>2051</v>
      </c>
      <c r="D71" s="138">
        <v>2271</v>
      </c>
      <c r="E71" s="138">
        <v>2848</v>
      </c>
      <c r="F71" s="138">
        <v>3056</v>
      </c>
      <c r="G71" s="138">
        <v>3274</v>
      </c>
      <c r="H71" s="138">
        <v>3861</v>
      </c>
      <c r="I71" s="138">
        <v>4380</v>
      </c>
      <c r="J71" s="138">
        <v>4970</v>
      </c>
      <c r="K71" s="138">
        <v>4957</v>
      </c>
      <c r="L71" s="138">
        <v>6460</v>
      </c>
      <c r="M71" s="138">
        <v>7929</v>
      </c>
      <c r="N71" s="138">
        <v>6390</v>
      </c>
    </row>
    <row r="72" spans="2:14" x14ac:dyDescent="0.3">
      <c r="B72" t="s">
        <v>43</v>
      </c>
      <c r="C72" s="139">
        <v>-254</v>
      </c>
      <c r="D72" s="139">
        <v>-155</v>
      </c>
      <c r="E72" s="139">
        <v>-146</v>
      </c>
      <c r="F72" s="139">
        <v>-475</v>
      </c>
      <c r="G72" s="139">
        <v>-483</v>
      </c>
      <c r="H72" s="139">
        <v>-205</v>
      </c>
      <c r="I72" s="139">
        <v>160</v>
      </c>
      <c r="J72" s="139">
        <v>-849</v>
      </c>
      <c r="K72" s="138">
        <v>-1326</v>
      </c>
      <c r="L72" s="139">
        <v>-834</v>
      </c>
      <c r="M72" s="139">
        <v>-362</v>
      </c>
      <c r="N72" s="139">
        <v>282</v>
      </c>
    </row>
    <row r="73" spans="2:14" x14ac:dyDescent="0.3">
      <c r="B73" t="s">
        <v>30</v>
      </c>
      <c r="C73" s="139">
        <v>-231</v>
      </c>
      <c r="D73" s="139">
        <v>-144</v>
      </c>
      <c r="E73" s="139">
        <v>202</v>
      </c>
      <c r="F73" s="139">
        <v>-629</v>
      </c>
      <c r="G73" s="139">
        <v>-39</v>
      </c>
      <c r="H73" s="139">
        <v>-492</v>
      </c>
      <c r="I73" s="139">
        <v>-251</v>
      </c>
      <c r="J73" s="139">
        <v>-409</v>
      </c>
      <c r="K73" s="138">
        <v>-2354</v>
      </c>
      <c r="L73" s="139">
        <v>-56</v>
      </c>
      <c r="M73" s="139">
        <v>315</v>
      </c>
      <c r="N73" s="139">
        <v>-805</v>
      </c>
    </row>
    <row r="74" spans="2:14" x14ac:dyDescent="0.3">
      <c r="B74" t="s">
        <v>89</v>
      </c>
      <c r="C74" s="139">
        <v>317</v>
      </c>
      <c r="D74" s="139">
        <v>-151</v>
      </c>
      <c r="E74" s="139">
        <v>142</v>
      </c>
      <c r="F74" s="139">
        <v>501</v>
      </c>
      <c r="G74" s="139">
        <v>442</v>
      </c>
      <c r="H74" s="139">
        <v>287</v>
      </c>
      <c r="I74" s="139">
        <v>-241</v>
      </c>
      <c r="J74" s="138">
        <v>1143</v>
      </c>
      <c r="K74" s="139">
        <v>644</v>
      </c>
      <c r="L74" s="139">
        <v>-539</v>
      </c>
      <c r="M74" s="139">
        <v>269</v>
      </c>
      <c r="N74" s="139">
        <v>-160</v>
      </c>
    </row>
    <row r="75" spans="2:14" x14ac:dyDescent="0.3">
      <c r="B75" t="s">
        <v>91</v>
      </c>
      <c r="C75" s="139">
        <v>0</v>
      </c>
      <c r="D75" s="139">
        <v>0</v>
      </c>
      <c r="E75" s="139">
        <v>0</v>
      </c>
      <c r="F75" s="139">
        <v>0</v>
      </c>
      <c r="G75" s="139">
        <v>0</v>
      </c>
      <c r="H75" s="139">
        <v>0</v>
      </c>
      <c r="I75" s="139">
        <v>0</v>
      </c>
      <c r="J75" s="139">
        <v>-92</v>
      </c>
      <c r="K75" s="139">
        <v>242</v>
      </c>
      <c r="L75" s="139">
        <v>657</v>
      </c>
      <c r="M75" s="139">
        <v>-212</v>
      </c>
      <c r="N75" s="139">
        <v>114</v>
      </c>
    </row>
    <row r="76" spans="2:14" x14ac:dyDescent="0.3">
      <c r="B76" t="s">
        <v>92</v>
      </c>
      <c r="C76" s="139">
        <v>-168</v>
      </c>
      <c r="D76" s="139">
        <v>-450</v>
      </c>
      <c r="E76" s="139">
        <v>198</v>
      </c>
      <c r="F76" s="139">
        <v>-603</v>
      </c>
      <c r="G76" s="139">
        <v>-80</v>
      </c>
      <c r="H76" s="139">
        <v>-410</v>
      </c>
      <c r="I76" s="139">
        <v>-331</v>
      </c>
      <c r="J76" s="139">
        <v>-206</v>
      </c>
      <c r="K76" s="138">
        <v>-2795</v>
      </c>
      <c r="L76" s="139">
        <v>-772</v>
      </c>
      <c r="M76" s="139">
        <v>10</v>
      </c>
      <c r="N76" s="139">
        <v>-570</v>
      </c>
    </row>
    <row r="77" spans="2:14" x14ac:dyDescent="0.3">
      <c r="B77" t="s">
        <v>93</v>
      </c>
      <c r="C77" s="139">
        <v>-480</v>
      </c>
      <c r="D77" s="139">
        <v>-633</v>
      </c>
      <c r="E77" s="139">
        <v>-802</v>
      </c>
      <c r="F77" s="139">
        <v>-925</v>
      </c>
      <c r="G77" s="138">
        <v>-1081</v>
      </c>
      <c r="H77" s="139">
        <v>-982</v>
      </c>
      <c r="I77" s="138">
        <v>-1011</v>
      </c>
      <c r="J77" s="138">
        <v>-1080</v>
      </c>
      <c r="K77" s="138">
        <v>-1176</v>
      </c>
      <c r="L77" s="138">
        <v>-1494</v>
      </c>
      <c r="M77" s="138">
        <v>-1835</v>
      </c>
      <c r="N77" s="138">
        <v>-1396</v>
      </c>
    </row>
    <row r="78" spans="2:14" x14ac:dyDescent="0.3">
      <c r="B78" s="8" t="s">
        <v>94</v>
      </c>
      <c r="C78" s="139">
        <v>-586</v>
      </c>
      <c r="D78" s="139">
        <v>-465</v>
      </c>
      <c r="E78" s="139">
        <v>-866</v>
      </c>
      <c r="F78" s="139">
        <v>-681</v>
      </c>
      <c r="G78" s="138">
        <v>-1556</v>
      </c>
      <c r="H78" s="139">
        <v>-918</v>
      </c>
      <c r="I78" s="139">
        <v>-518</v>
      </c>
      <c r="J78" s="139">
        <v>-541</v>
      </c>
      <c r="K78" s="139">
        <v>-317</v>
      </c>
      <c r="L78" s="138">
        <v>-1282</v>
      </c>
      <c r="M78" s="138">
        <v>-2548</v>
      </c>
      <c r="N78" s="139">
        <v>-941</v>
      </c>
    </row>
    <row r="79" spans="2:14" x14ac:dyDescent="0.3">
      <c r="B79" t="s">
        <v>95</v>
      </c>
      <c r="C79" s="139">
        <v>-251</v>
      </c>
      <c r="D79" s="139">
        <v>-454</v>
      </c>
      <c r="E79" s="139">
        <v>-817</v>
      </c>
      <c r="F79" s="139">
        <v>-684</v>
      </c>
      <c r="G79" s="138">
        <v>-1426</v>
      </c>
      <c r="H79" s="138">
        <v>-1151</v>
      </c>
      <c r="I79" s="139">
        <v>-404</v>
      </c>
      <c r="J79" s="139">
        <v>-282</v>
      </c>
      <c r="K79" s="139">
        <v>-551</v>
      </c>
      <c r="L79" s="138">
        <v>-1446</v>
      </c>
      <c r="M79" s="138">
        <v>-2496</v>
      </c>
      <c r="N79" s="138">
        <v>-1830</v>
      </c>
    </row>
    <row r="80" spans="2:14" x14ac:dyDescent="0.3">
      <c r="B80" t="s">
        <v>96</v>
      </c>
      <c r="C80" s="139">
        <v>16</v>
      </c>
      <c r="D80" s="139">
        <v>16</v>
      </c>
      <c r="E80" s="139">
        <v>15</v>
      </c>
      <c r="F80" s="139">
        <v>17</v>
      </c>
      <c r="G80" s="139">
        <v>17</v>
      </c>
      <c r="H80" s="139">
        <v>17</v>
      </c>
      <c r="I80" s="139">
        <v>37</v>
      </c>
      <c r="J80" s="139">
        <v>28</v>
      </c>
      <c r="K80" s="139">
        <v>40</v>
      </c>
      <c r="L80" s="139">
        <v>26</v>
      </c>
      <c r="M80" s="139">
        <v>5</v>
      </c>
      <c r="N80" s="139">
        <v>10</v>
      </c>
    </row>
    <row r="81" spans="2:14" x14ac:dyDescent="0.3">
      <c r="B81" t="s">
        <v>97</v>
      </c>
      <c r="C81" s="139">
        <v>-872</v>
      </c>
      <c r="D81" s="139">
        <v>-243</v>
      </c>
      <c r="E81" s="139">
        <v>-282</v>
      </c>
      <c r="F81" s="139">
        <v>-153</v>
      </c>
      <c r="G81" s="139">
        <v>-320</v>
      </c>
      <c r="H81" s="139">
        <v>-573</v>
      </c>
      <c r="I81" s="139">
        <v>-25</v>
      </c>
      <c r="J81" s="139">
        <v>-140</v>
      </c>
      <c r="K81" s="139">
        <v>0</v>
      </c>
      <c r="L81" s="139">
        <v>-146</v>
      </c>
      <c r="M81" s="139">
        <v>-212</v>
      </c>
      <c r="N81" s="139">
        <v>-1</v>
      </c>
    </row>
    <row r="82" spans="2:14" x14ac:dyDescent="0.3">
      <c r="B82" t="s">
        <v>98</v>
      </c>
      <c r="C82" s="139">
        <v>463</v>
      </c>
      <c r="D82" s="139">
        <v>278</v>
      </c>
      <c r="E82" s="139">
        <v>205</v>
      </c>
      <c r="F82" s="139">
        <v>357</v>
      </c>
      <c r="G82" s="139">
        <v>362</v>
      </c>
      <c r="H82" s="139">
        <v>733</v>
      </c>
      <c r="I82" s="139">
        <v>134</v>
      </c>
      <c r="J82" s="139">
        <v>272</v>
      </c>
      <c r="K82" s="139">
        <v>207</v>
      </c>
      <c r="L82" s="139">
        <v>446</v>
      </c>
      <c r="M82" s="139">
        <v>240</v>
      </c>
      <c r="N82" s="139">
        <v>421</v>
      </c>
    </row>
    <row r="83" spans="2:14" x14ac:dyDescent="0.3">
      <c r="B83" t="s">
        <v>99</v>
      </c>
      <c r="C83" s="139">
        <v>14</v>
      </c>
      <c r="D83" s="139">
        <v>11</v>
      </c>
      <c r="E83" s="139">
        <v>15</v>
      </c>
      <c r="F83" s="139">
        <v>32</v>
      </c>
      <c r="G83" s="139">
        <v>39</v>
      </c>
      <c r="H83" s="139">
        <v>40</v>
      </c>
      <c r="I83" s="139">
        <v>65</v>
      </c>
      <c r="J83" s="139">
        <v>73</v>
      </c>
      <c r="K83" s="139">
        <v>77</v>
      </c>
      <c r="L83" s="139">
        <v>87</v>
      </c>
      <c r="M83" s="139">
        <v>135</v>
      </c>
      <c r="N83" s="139">
        <v>155</v>
      </c>
    </row>
    <row r="84" spans="2:14" x14ac:dyDescent="0.3">
      <c r="B84" t="s">
        <v>100</v>
      </c>
      <c r="C84" s="139">
        <v>65</v>
      </c>
      <c r="D84" s="139">
        <v>71</v>
      </c>
      <c r="E84" s="139">
        <v>69</v>
      </c>
      <c r="F84" s="139">
        <v>74</v>
      </c>
      <c r="G84" s="139">
        <v>38</v>
      </c>
      <c r="H84" s="139">
        <v>40</v>
      </c>
      <c r="I84" s="139">
        <v>27</v>
      </c>
      <c r="J84" s="139">
        <v>8</v>
      </c>
      <c r="K84" s="139">
        <v>15</v>
      </c>
      <c r="L84" s="139">
        <v>56</v>
      </c>
      <c r="M84" s="139">
        <v>129</v>
      </c>
      <c r="N84" s="139">
        <v>136</v>
      </c>
    </row>
    <row r="85" spans="2:14" x14ac:dyDescent="0.3">
      <c r="B85" t="s">
        <v>101</v>
      </c>
      <c r="C85" s="139">
        <v>0</v>
      </c>
      <c r="D85" s="139">
        <v>0</v>
      </c>
      <c r="E85" s="139">
        <v>0</v>
      </c>
      <c r="F85" s="139">
        <v>0</v>
      </c>
      <c r="G85" s="13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-180</v>
      </c>
      <c r="M85" s="139">
        <v>0</v>
      </c>
      <c r="N85" s="139">
        <v>0</v>
      </c>
    </row>
    <row r="86" spans="2:14" x14ac:dyDescent="0.3">
      <c r="B86" t="s">
        <v>102</v>
      </c>
      <c r="C86" s="139">
        <v>0</v>
      </c>
      <c r="D86" s="139">
        <v>0</v>
      </c>
      <c r="E86" s="139">
        <v>0</v>
      </c>
      <c r="F86" s="139">
        <v>0</v>
      </c>
      <c r="G86" s="139">
        <v>141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38</v>
      </c>
    </row>
    <row r="87" spans="2:14" x14ac:dyDescent="0.3">
      <c r="B87" t="s">
        <v>103</v>
      </c>
      <c r="C87" s="139">
        <v>0</v>
      </c>
      <c r="D87" s="139">
        <v>0</v>
      </c>
      <c r="E87" s="139">
        <v>0</v>
      </c>
      <c r="F87" s="139">
        <v>0</v>
      </c>
      <c r="G87" s="139">
        <v>-525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</row>
    <row r="88" spans="2:14" x14ac:dyDescent="0.3">
      <c r="B88" t="s">
        <v>105</v>
      </c>
      <c r="C88" s="139">
        <v>-21</v>
      </c>
      <c r="D88" s="139">
        <v>-144</v>
      </c>
      <c r="E88" s="139">
        <v>-70</v>
      </c>
      <c r="F88" s="139">
        <v>-324</v>
      </c>
      <c r="G88" s="139">
        <v>118</v>
      </c>
      <c r="H88" s="139">
        <v>-24</v>
      </c>
      <c r="I88" s="139">
        <v>-353</v>
      </c>
      <c r="J88" s="139">
        <v>-500</v>
      </c>
      <c r="K88" s="139">
        <v>-105</v>
      </c>
      <c r="L88" s="139">
        <v>-126</v>
      </c>
      <c r="M88" s="139">
        <v>-350</v>
      </c>
      <c r="N88" s="139">
        <v>130</v>
      </c>
    </row>
    <row r="89" spans="2:14" x14ac:dyDescent="0.3">
      <c r="B89" s="8" t="s">
        <v>106</v>
      </c>
      <c r="C89" s="139">
        <v>-626</v>
      </c>
      <c r="D89" s="139">
        <v>-576</v>
      </c>
      <c r="E89" s="139">
        <v>-849</v>
      </c>
      <c r="F89" s="139">
        <v>-756</v>
      </c>
      <c r="G89" s="138">
        <v>-1379</v>
      </c>
      <c r="H89" s="138">
        <v>-1117</v>
      </c>
      <c r="I89" s="138">
        <v>-2871</v>
      </c>
      <c r="J89" s="139">
        <v>-650</v>
      </c>
      <c r="K89" s="138">
        <v>-1808</v>
      </c>
      <c r="L89" s="138">
        <v>-2140</v>
      </c>
      <c r="M89" s="138">
        <v>-2982</v>
      </c>
      <c r="N89" s="138">
        <v>-3753</v>
      </c>
    </row>
    <row r="90" spans="2:14" x14ac:dyDescent="0.3">
      <c r="B90" t="s">
        <v>107</v>
      </c>
      <c r="C90" s="139">
        <v>0</v>
      </c>
      <c r="D90" s="139">
        <v>0</v>
      </c>
      <c r="E90" s="139">
        <v>0</v>
      </c>
      <c r="F90" s="139">
        <v>0</v>
      </c>
      <c r="G90" s="13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1</v>
      </c>
      <c r="N90" s="139">
        <v>0</v>
      </c>
    </row>
    <row r="91" spans="2:14" x14ac:dyDescent="0.3">
      <c r="B91" t="s">
        <v>109</v>
      </c>
      <c r="C91" s="139">
        <v>44</v>
      </c>
      <c r="D91" s="139">
        <v>239</v>
      </c>
      <c r="E91" s="139">
        <v>8</v>
      </c>
      <c r="F91" s="139">
        <v>271</v>
      </c>
      <c r="G91" s="139">
        <v>10</v>
      </c>
      <c r="H91" s="139">
        <v>243</v>
      </c>
      <c r="I91" s="139">
        <v>18</v>
      </c>
      <c r="J91" s="139">
        <v>155</v>
      </c>
      <c r="K91" s="139">
        <v>418</v>
      </c>
      <c r="L91" s="139">
        <v>254</v>
      </c>
      <c r="M91" s="139">
        <v>101</v>
      </c>
      <c r="N91" s="139">
        <v>415</v>
      </c>
    </row>
    <row r="92" spans="2:14" x14ac:dyDescent="0.3">
      <c r="B92" t="s">
        <v>110</v>
      </c>
      <c r="C92" s="139">
        <v>-81</v>
      </c>
      <c r="D92" s="139">
        <v>-86</v>
      </c>
      <c r="E92" s="139">
        <v>-119</v>
      </c>
      <c r="F92" s="139">
        <v>-58</v>
      </c>
      <c r="G92" s="139">
        <v>-54</v>
      </c>
      <c r="H92" s="139">
        <v>-26</v>
      </c>
      <c r="I92" s="139">
        <v>-279</v>
      </c>
      <c r="J92" s="139">
        <v>-14</v>
      </c>
      <c r="K92" s="139">
        <v>-8</v>
      </c>
      <c r="L92" s="139">
        <v>-25</v>
      </c>
      <c r="M92" s="139">
        <v>-98</v>
      </c>
      <c r="N92" s="139">
        <v>-428</v>
      </c>
    </row>
    <row r="93" spans="2:14" x14ac:dyDescent="0.3">
      <c r="B93" t="s">
        <v>111</v>
      </c>
      <c r="C93" s="139">
        <v>-42</v>
      </c>
      <c r="D93" s="139">
        <v>-35</v>
      </c>
      <c r="E93" s="139">
        <v>-40</v>
      </c>
      <c r="F93" s="139">
        <v>-36</v>
      </c>
      <c r="G93" s="139">
        <v>-35</v>
      </c>
      <c r="H93" s="139">
        <v>-106</v>
      </c>
      <c r="I93" s="139">
        <v>-101</v>
      </c>
      <c r="J93" s="139">
        <v>-89</v>
      </c>
      <c r="K93" s="139">
        <v>-94</v>
      </c>
      <c r="L93" s="139">
        <v>-142</v>
      </c>
      <c r="M93" s="139">
        <v>-191</v>
      </c>
      <c r="N93" s="139">
        <v>-203</v>
      </c>
    </row>
    <row r="94" spans="2:14" x14ac:dyDescent="0.3">
      <c r="B94" t="s">
        <v>112</v>
      </c>
      <c r="C94" s="139">
        <v>-547</v>
      </c>
      <c r="D94" s="139">
        <v>-695</v>
      </c>
      <c r="E94" s="139">
        <v>-764</v>
      </c>
      <c r="F94" s="139">
        <v>-947</v>
      </c>
      <c r="G94" s="138">
        <v>-1218</v>
      </c>
      <c r="H94" s="138">
        <v>-1049</v>
      </c>
      <c r="I94" s="138">
        <v>-2121</v>
      </c>
      <c r="J94" s="139">
        <v>-499</v>
      </c>
      <c r="K94" s="138">
        <v>-1763</v>
      </c>
      <c r="L94" s="138">
        <v>-1936</v>
      </c>
      <c r="M94" s="138">
        <v>-2551</v>
      </c>
      <c r="N94" s="138">
        <v>-3140</v>
      </c>
    </row>
    <row r="95" spans="2:14" x14ac:dyDescent="0.3">
      <c r="B95" t="s">
        <v>113</v>
      </c>
      <c r="C95" s="139">
        <v>0</v>
      </c>
      <c r="D95" s="139">
        <v>0</v>
      </c>
      <c r="E95" s="139">
        <v>0</v>
      </c>
      <c r="F95" s="139">
        <v>0</v>
      </c>
      <c r="G95" s="139">
        <v>0</v>
      </c>
      <c r="H95" s="139">
        <v>-180</v>
      </c>
      <c r="I95" s="139">
        <v>-179</v>
      </c>
      <c r="J95" s="139">
        <v>-203</v>
      </c>
      <c r="K95" s="139">
        <v>-221</v>
      </c>
      <c r="L95" s="139">
        <v>-256</v>
      </c>
      <c r="M95" s="139">
        <v>-286</v>
      </c>
      <c r="N95" s="139">
        <v>-325</v>
      </c>
    </row>
    <row r="96" spans="2:14" x14ac:dyDescent="0.3">
      <c r="B96" t="s">
        <v>114</v>
      </c>
      <c r="C96" s="139">
        <v>0</v>
      </c>
      <c r="D96" s="139">
        <v>0</v>
      </c>
      <c r="E96" s="139">
        <v>66</v>
      </c>
      <c r="F96" s="139">
        <v>13</v>
      </c>
      <c r="G96" s="139">
        <v>-82</v>
      </c>
      <c r="H96" s="139">
        <v>0</v>
      </c>
      <c r="I96" s="139">
        <v>-209</v>
      </c>
      <c r="J96" s="139">
        <v>0</v>
      </c>
      <c r="K96" s="139">
        <v>-140</v>
      </c>
      <c r="L96" s="139">
        <v>-36</v>
      </c>
      <c r="M96" s="139">
        <v>41</v>
      </c>
      <c r="N96" s="139">
        <v>-72</v>
      </c>
    </row>
    <row r="97" spans="2:15" x14ac:dyDescent="0.3">
      <c r="B97" t="s">
        <v>21</v>
      </c>
      <c r="C97" s="139">
        <v>190</v>
      </c>
      <c r="D97" s="139">
        <v>147</v>
      </c>
      <c r="E97" s="139">
        <v>528</v>
      </c>
      <c r="F97" s="139">
        <v>90</v>
      </c>
      <c r="G97" s="139">
        <v>-822</v>
      </c>
      <c r="H97" s="139">
        <v>434</v>
      </c>
      <c r="I97" s="139">
        <v>-351</v>
      </c>
      <c r="J97" s="138">
        <v>2492</v>
      </c>
      <c r="K97" s="138">
        <v>-1138</v>
      </c>
      <c r="L97" s="139">
        <v>771</v>
      </c>
      <c r="M97" s="139">
        <v>573</v>
      </c>
      <c r="N97" s="139">
        <v>-270</v>
      </c>
    </row>
    <row r="102" spans="2:15" x14ac:dyDescent="0.3">
      <c r="C102" s="161">
        <v>41699</v>
      </c>
      <c r="D102" s="162">
        <v>42064</v>
      </c>
      <c r="E102" s="162">
        <v>42430</v>
      </c>
      <c r="F102" s="162">
        <v>42795</v>
      </c>
      <c r="G102" s="162">
        <v>43160</v>
      </c>
      <c r="H102" s="162">
        <v>43525</v>
      </c>
      <c r="I102" s="162">
        <v>43891</v>
      </c>
      <c r="J102" s="162">
        <v>44256</v>
      </c>
      <c r="K102" s="162">
        <v>44621</v>
      </c>
      <c r="L102" s="162">
        <v>44986</v>
      </c>
      <c r="M102" s="162">
        <v>45352</v>
      </c>
      <c r="N102" s="162">
        <v>45717</v>
      </c>
      <c r="O102" s="139"/>
    </row>
    <row r="103" spans="2:15" x14ac:dyDescent="0.3">
      <c r="B103" s="8" t="s">
        <v>319</v>
      </c>
      <c r="C103" s="138">
        <v>12220</v>
      </c>
      <c r="D103" s="138">
        <v>13615</v>
      </c>
      <c r="E103" s="138">
        <v>14271</v>
      </c>
      <c r="F103" s="138">
        <v>15062</v>
      </c>
      <c r="G103" s="138">
        <v>16825</v>
      </c>
      <c r="H103" s="138">
        <v>19240</v>
      </c>
      <c r="I103" s="138">
        <v>20211</v>
      </c>
      <c r="J103" s="138">
        <v>21713</v>
      </c>
      <c r="K103" s="138">
        <v>29101</v>
      </c>
      <c r="L103" s="138">
        <v>34489</v>
      </c>
      <c r="M103" s="138">
        <v>35495</v>
      </c>
      <c r="N103" s="138">
        <v>33906</v>
      </c>
      <c r="O103" s="48"/>
    </row>
    <row r="104" spans="2:15" x14ac:dyDescent="0.3">
      <c r="B104" s="8" t="s">
        <v>320</v>
      </c>
      <c r="C104" s="138">
        <v>10217</v>
      </c>
      <c r="D104" s="138">
        <v>11372</v>
      </c>
      <c r="E104" s="138">
        <v>11546</v>
      </c>
      <c r="F104" s="138">
        <v>12068</v>
      </c>
      <c r="G104" s="138">
        <v>13621</v>
      </c>
      <c r="H104" s="138">
        <v>15475</v>
      </c>
      <c r="I104" s="138">
        <v>16054</v>
      </c>
      <c r="J104" s="138">
        <v>16857</v>
      </c>
      <c r="K104" s="138">
        <v>24298</v>
      </c>
      <c r="L104" s="138">
        <v>28229</v>
      </c>
      <c r="M104" s="138">
        <v>27910</v>
      </c>
      <c r="N104" s="138">
        <v>27899</v>
      </c>
      <c r="O104" s="48"/>
    </row>
    <row r="105" spans="2:15" x14ac:dyDescent="0.3">
      <c r="B105" s="8" t="s">
        <v>3</v>
      </c>
      <c r="C105" s="138">
        <v>2004</v>
      </c>
      <c r="D105" s="138">
        <v>2243</v>
      </c>
      <c r="E105" s="138">
        <v>2725</v>
      </c>
      <c r="F105" s="138">
        <v>2994</v>
      </c>
      <c r="G105" s="138">
        <v>3204</v>
      </c>
      <c r="H105" s="138">
        <v>3765</v>
      </c>
      <c r="I105" s="138">
        <v>4157</v>
      </c>
      <c r="J105" s="138">
        <v>4856</v>
      </c>
      <c r="K105" s="138">
        <v>4804</v>
      </c>
      <c r="L105" s="138">
        <v>6260</v>
      </c>
      <c r="M105" s="138">
        <v>7585</v>
      </c>
      <c r="N105" s="138">
        <v>6006</v>
      </c>
      <c r="O105" s="48"/>
    </row>
    <row r="106" spans="2:15" x14ac:dyDescent="0.3">
      <c r="B106" s="8" t="s">
        <v>321</v>
      </c>
      <c r="C106" s="163">
        <v>0.16</v>
      </c>
      <c r="D106" s="163">
        <v>0.16</v>
      </c>
      <c r="E106" s="163">
        <v>0.19</v>
      </c>
      <c r="F106" s="163">
        <v>0.2</v>
      </c>
      <c r="G106" s="163">
        <v>0.19</v>
      </c>
      <c r="H106" s="163">
        <v>0.2</v>
      </c>
      <c r="I106" s="163">
        <v>0.21</v>
      </c>
      <c r="J106" s="163">
        <v>0.22</v>
      </c>
      <c r="K106" s="163">
        <v>0.17</v>
      </c>
      <c r="L106" s="163">
        <v>0.18</v>
      </c>
      <c r="M106" s="163">
        <v>0.21</v>
      </c>
      <c r="N106" s="163">
        <v>0.18</v>
      </c>
      <c r="O106" s="164"/>
    </row>
    <row r="107" spans="2:15" x14ac:dyDescent="0.3">
      <c r="B107" s="8" t="s">
        <v>322</v>
      </c>
      <c r="C107" s="139">
        <v>124</v>
      </c>
      <c r="D107" s="139">
        <v>142</v>
      </c>
      <c r="E107" s="139">
        <v>213</v>
      </c>
      <c r="F107" s="139">
        <v>338</v>
      </c>
      <c r="G107" s="139">
        <v>336</v>
      </c>
      <c r="H107" s="139">
        <v>274</v>
      </c>
      <c r="I107" s="139">
        <v>355</v>
      </c>
      <c r="J107" s="139">
        <v>332</v>
      </c>
      <c r="K107" s="139">
        <v>296</v>
      </c>
      <c r="L107" s="139">
        <v>431</v>
      </c>
      <c r="M107" s="139">
        <v>821</v>
      </c>
      <c r="N107" s="139">
        <v>350</v>
      </c>
    </row>
    <row r="108" spans="2:15" x14ac:dyDescent="0.3">
      <c r="B108" s="8" t="s">
        <v>6</v>
      </c>
      <c r="C108" s="139">
        <v>48</v>
      </c>
      <c r="D108" s="139">
        <v>42</v>
      </c>
      <c r="E108" s="139">
        <v>49</v>
      </c>
      <c r="F108" s="139">
        <v>37</v>
      </c>
      <c r="G108" s="139">
        <v>41</v>
      </c>
      <c r="H108" s="139">
        <v>110</v>
      </c>
      <c r="I108" s="139">
        <v>102</v>
      </c>
      <c r="J108" s="139">
        <v>92</v>
      </c>
      <c r="K108" s="139">
        <v>95</v>
      </c>
      <c r="L108" s="139">
        <v>144</v>
      </c>
      <c r="M108" s="139">
        <v>205</v>
      </c>
      <c r="N108" s="139">
        <v>227</v>
      </c>
    </row>
    <row r="109" spans="2:15" x14ac:dyDescent="0.3">
      <c r="B109" s="8" t="s">
        <v>5</v>
      </c>
      <c r="C109" s="139">
        <v>246</v>
      </c>
      <c r="D109" s="139">
        <v>266</v>
      </c>
      <c r="E109" s="139">
        <v>276</v>
      </c>
      <c r="F109" s="139">
        <v>335</v>
      </c>
      <c r="G109" s="139">
        <v>360</v>
      </c>
      <c r="H109" s="139">
        <v>622</v>
      </c>
      <c r="I109" s="139">
        <v>780</v>
      </c>
      <c r="J109" s="139">
        <v>791</v>
      </c>
      <c r="K109" s="139">
        <v>816</v>
      </c>
      <c r="L109" s="139">
        <v>858</v>
      </c>
      <c r="M109" s="139">
        <v>853</v>
      </c>
      <c r="N109" s="138">
        <v>1026</v>
      </c>
      <c r="O109" s="48"/>
    </row>
    <row r="110" spans="2:15" x14ac:dyDescent="0.3">
      <c r="B110" s="8" t="s">
        <v>7</v>
      </c>
      <c r="C110" s="138">
        <v>1834</v>
      </c>
      <c r="D110" s="138">
        <v>2077</v>
      </c>
      <c r="E110" s="138">
        <v>2614</v>
      </c>
      <c r="F110" s="138">
        <v>2960</v>
      </c>
      <c r="G110" s="138">
        <v>3138</v>
      </c>
      <c r="H110" s="138">
        <v>3306</v>
      </c>
      <c r="I110" s="138">
        <v>3629</v>
      </c>
      <c r="J110" s="138">
        <v>4304</v>
      </c>
      <c r="K110" s="138">
        <v>4188</v>
      </c>
      <c r="L110" s="138">
        <v>5689</v>
      </c>
      <c r="M110" s="138">
        <v>7348</v>
      </c>
      <c r="N110" s="138">
        <v>5103</v>
      </c>
      <c r="O110" s="48"/>
    </row>
    <row r="111" spans="2:15" x14ac:dyDescent="0.3">
      <c r="B111" s="8" t="s">
        <v>323</v>
      </c>
      <c r="C111" s="163">
        <v>0.31</v>
      </c>
      <c r="D111" s="163">
        <v>0.31</v>
      </c>
      <c r="E111" s="163">
        <v>0.32</v>
      </c>
      <c r="F111" s="163">
        <v>0.32</v>
      </c>
      <c r="G111" s="163">
        <v>0.33</v>
      </c>
      <c r="H111" s="163">
        <v>0.33</v>
      </c>
      <c r="I111" s="163">
        <v>0.24</v>
      </c>
      <c r="J111" s="163">
        <v>0.26</v>
      </c>
      <c r="K111" s="163">
        <v>0.26</v>
      </c>
      <c r="L111" s="163">
        <v>0.26</v>
      </c>
      <c r="M111" s="163">
        <v>0.24</v>
      </c>
      <c r="N111" s="163">
        <v>0.27</v>
      </c>
    </row>
    <row r="112" spans="2:15" x14ac:dyDescent="0.3">
      <c r="B112" s="8" t="s">
        <v>349</v>
      </c>
      <c r="C112" s="138">
        <f>C110*(1-C111)</f>
        <v>1265.4599999999998</v>
      </c>
      <c r="D112" s="138">
        <f t="shared" ref="D112:N112" si="2">D110*(1-D111)</f>
        <v>1433.1299999999999</v>
      </c>
      <c r="E112" s="138">
        <f t="shared" si="2"/>
        <v>1777.5199999999998</v>
      </c>
      <c r="F112" s="138">
        <f t="shared" si="2"/>
        <v>2012.7999999999997</v>
      </c>
      <c r="G112" s="138">
        <f t="shared" si="2"/>
        <v>2102.4599999999996</v>
      </c>
      <c r="H112" s="138">
        <f t="shared" si="2"/>
        <v>2215.02</v>
      </c>
      <c r="I112" s="138">
        <f t="shared" si="2"/>
        <v>2758.04</v>
      </c>
      <c r="J112" s="138">
        <f t="shared" si="2"/>
        <v>3184.96</v>
      </c>
      <c r="K112" s="138">
        <f t="shared" si="2"/>
        <v>3099.12</v>
      </c>
      <c r="L112" s="138">
        <f t="shared" si="2"/>
        <v>4209.8599999999997</v>
      </c>
      <c r="M112" s="138">
        <f t="shared" si="2"/>
        <v>5584.4800000000005</v>
      </c>
      <c r="N112" s="138">
        <f t="shared" si="2"/>
        <v>3725.19</v>
      </c>
    </row>
    <row r="113" spans="2:15" x14ac:dyDescent="0.3">
      <c r="B113" s="8" t="s">
        <v>324</v>
      </c>
      <c r="C113" s="138">
        <v>1263</v>
      </c>
      <c r="D113" s="138">
        <v>1427</v>
      </c>
      <c r="E113" s="138">
        <v>1803</v>
      </c>
      <c r="F113" s="138">
        <v>2016</v>
      </c>
      <c r="G113" s="138">
        <v>2098</v>
      </c>
      <c r="H113" s="138">
        <v>2208</v>
      </c>
      <c r="I113" s="138">
        <v>2774</v>
      </c>
      <c r="J113" s="138">
        <v>3207</v>
      </c>
      <c r="K113" s="138">
        <v>3085</v>
      </c>
      <c r="L113" s="138">
        <v>4195</v>
      </c>
      <c r="M113" s="138">
        <v>5558</v>
      </c>
      <c r="N113" s="138">
        <v>3710</v>
      </c>
      <c r="O113" s="48"/>
    </row>
    <row r="114" spans="2:15" x14ac:dyDescent="0.3">
      <c r="B114" s="8" t="s">
        <v>325</v>
      </c>
      <c r="C114" s="139">
        <v>12.71</v>
      </c>
      <c r="D114" s="139">
        <v>14.54</v>
      </c>
      <c r="E114" s="139">
        <v>18.190000000000001</v>
      </c>
      <c r="F114" s="139">
        <v>20.22</v>
      </c>
      <c r="G114" s="139">
        <v>21.26</v>
      </c>
      <c r="H114" s="139">
        <v>22.48</v>
      </c>
      <c r="I114" s="139">
        <v>28.2</v>
      </c>
      <c r="J114" s="139">
        <v>32.729999999999997</v>
      </c>
      <c r="K114" s="139">
        <v>31.59</v>
      </c>
      <c r="L114" s="139">
        <v>42.81</v>
      </c>
      <c r="M114" s="139">
        <v>56.92</v>
      </c>
      <c r="N114" s="139">
        <v>38.229999999999997</v>
      </c>
    </row>
    <row r="115" spans="2:15" x14ac:dyDescent="0.3">
      <c r="B115" s="8" t="s">
        <v>348</v>
      </c>
      <c r="C115" s="163">
        <v>0.42</v>
      </c>
      <c r="D115" s="163">
        <v>0.42</v>
      </c>
      <c r="E115" s="163">
        <v>0.41</v>
      </c>
      <c r="F115" s="163">
        <v>0.51</v>
      </c>
      <c r="G115" s="163">
        <v>0.41</v>
      </c>
      <c r="H115" s="163">
        <v>0.47</v>
      </c>
      <c r="I115" s="163">
        <v>0.43</v>
      </c>
      <c r="J115" s="163">
        <v>0.55000000000000004</v>
      </c>
      <c r="K115" s="163">
        <v>0.61</v>
      </c>
      <c r="L115" s="163">
        <v>0.6</v>
      </c>
      <c r="M115" s="163">
        <v>0.57999999999999996</v>
      </c>
      <c r="N115" s="163">
        <v>0.65</v>
      </c>
    </row>
    <row r="117" spans="2:15" x14ac:dyDescent="0.3">
      <c r="B117" s="8" t="s">
        <v>326</v>
      </c>
      <c r="C117" s="138">
        <f t="shared" ref="C117:N117" si="3">C105-C109</f>
        <v>1758</v>
      </c>
      <c r="D117" s="138">
        <f t="shared" si="3"/>
        <v>1977</v>
      </c>
      <c r="E117" s="138">
        <f t="shared" si="3"/>
        <v>2449</v>
      </c>
      <c r="F117" s="138">
        <f t="shared" si="3"/>
        <v>2659</v>
      </c>
      <c r="G117" s="138">
        <f t="shared" si="3"/>
        <v>2844</v>
      </c>
      <c r="H117" s="138">
        <f t="shared" si="3"/>
        <v>3143</v>
      </c>
      <c r="I117" s="138">
        <f t="shared" si="3"/>
        <v>3377</v>
      </c>
      <c r="J117" s="138">
        <f t="shared" si="3"/>
        <v>4065</v>
      </c>
      <c r="K117" s="138">
        <f t="shared" si="3"/>
        <v>3988</v>
      </c>
      <c r="L117" s="138">
        <f t="shared" si="3"/>
        <v>5402</v>
      </c>
      <c r="M117" s="138">
        <f t="shared" si="3"/>
        <v>6732</v>
      </c>
      <c r="N117" s="138">
        <f t="shared" si="3"/>
        <v>4980</v>
      </c>
    </row>
    <row r="119" spans="2:15" x14ac:dyDescent="0.3">
      <c r="C119" s="138">
        <f>C113+C112+C109+C108</f>
        <v>2822.46</v>
      </c>
      <c r="D119" s="138">
        <f t="shared" ref="D119:N119" si="4">D113+D112+D109+D108</f>
        <v>3168.13</v>
      </c>
      <c r="E119" s="138">
        <f t="shared" si="4"/>
        <v>3905.5199999999995</v>
      </c>
      <c r="F119" s="138">
        <f t="shared" si="4"/>
        <v>4400.7999999999993</v>
      </c>
      <c r="G119" s="138">
        <f t="shared" si="4"/>
        <v>4601.4599999999991</v>
      </c>
      <c r="H119" s="138">
        <f t="shared" si="4"/>
        <v>5155.0200000000004</v>
      </c>
      <c r="I119" s="138">
        <f t="shared" si="4"/>
        <v>6414.04</v>
      </c>
      <c r="J119" s="138">
        <f t="shared" si="4"/>
        <v>7274.96</v>
      </c>
      <c r="K119" s="138">
        <f t="shared" si="4"/>
        <v>7095.12</v>
      </c>
      <c r="L119" s="138">
        <f t="shared" si="4"/>
        <v>9406.86</v>
      </c>
      <c r="M119" s="138">
        <f t="shared" si="4"/>
        <v>12200.48</v>
      </c>
      <c r="N119" s="138">
        <f t="shared" si="4"/>
        <v>8688.19</v>
      </c>
    </row>
    <row r="121" spans="2:15" x14ac:dyDescent="0.3">
      <c r="C121" s="138"/>
    </row>
  </sheetData>
  <pageMargins left="0.7" right="0.7" top="0.75" bottom="0.75" header="0.3" footer="0.3"/>
  <ignoredErrors>
    <ignoredError sqref="C30:N3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11718-DFBE-421F-8CAD-84F1915C3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Financials&gt;</vt:lpstr>
      <vt:lpstr>Ratio Analysis</vt:lpstr>
      <vt:lpstr>Forecasting</vt:lpstr>
      <vt:lpstr>WACC</vt:lpstr>
      <vt:lpstr>Beta</vt:lpstr>
      <vt:lpstr>Intrinsic Growth</vt:lpstr>
      <vt:lpstr>Common Size Statement</vt:lpstr>
      <vt:lpstr>DCF</vt:lpstr>
      <vt:lpstr>Retailing Companies</vt:lpstr>
      <vt:lpstr>Market Return</vt:lpstr>
      <vt:lpstr>Cash Flow Data</vt:lpstr>
      <vt:lpstr>Data Sheet</vt:lpstr>
      <vt:lpstr>Asian Paints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Chirag Sharma</cp:lastModifiedBy>
  <cp:lastPrinted>2025-10-09T05:44:40Z</cp:lastPrinted>
  <dcterms:created xsi:type="dcterms:W3CDTF">2012-08-17T09:55:37Z</dcterms:created>
  <dcterms:modified xsi:type="dcterms:W3CDTF">2025-10-19T07:39:16Z</dcterms:modified>
</cp:coreProperties>
</file>